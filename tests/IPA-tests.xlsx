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lfeb\Downloads\"/>
    </mc:Choice>
  </mc:AlternateContent>
  <bookViews>
    <workbookView xWindow="0" yWindow="756" windowWidth="28044" windowHeight="2040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A24" i="1" l="1"/>
  <c r="EA25" i="1"/>
  <c r="EA26" i="1"/>
  <c r="EA27" i="1"/>
  <c r="EA28" i="1"/>
  <c r="EA29" i="1"/>
  <c r="EA30" i="1"/>
  <c r="EA31" i="1"/>
  <c r="EA32" i="1"/>
  <c r="EA33" i="1"/>
  <c r="EA34" i="1"/>
  <c r="EA36" i="1"/>
  <c r="EA37" i="1"/>
  <c r="EA38" i="1"/>
  <c r="EA14" i="1"/>
  <c r="EA15" i="1"/>
  <c r="EA17" i="1"/>
  <c r="EA18" i="1"/>
  <c r="EA19" i="1"/>
  <c r="EA6" i="1"/>
  <c r="EA7" i="1"/>
  <c r="EA8" i="1"/>
  <c r="EA9" i="1"/>
  <c r="EA10" i="1"/>
  <c r="EA11" i="1"/>
  <c r="EA12" i="1"/>
  <c r="EA13" i="1"/>
  <c r="EA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5" i="1"/>
</calcChain>
</file>

<file path=xl/sharedStrings.xml><?xml version="1.0" encoding="utf-8"?>
<sst xmlns="http://schemas.openxmlformats.org/spreadsheetml/2006/main" count="1497" uniqueCount="95">
  <si>
    <t>CNC(=O)c1ccccc1Sc1ccc2c(/C=C/c3ccccn3)n[nH]c2c1:</t>
  </si>
  <si>
    <t>CNC(=O)c1ccccc1Sc1ccc2c(/C=C/c3ccccn3)n[n-]c2c1:</t>
  </si>
  <si>
    <t>res</t>
  </si>
  <si>
    <t>chain</t>
  </si>
  <si>
    <t>resn</t>
  </si>
  <si>
    <t>protonation</t>
  </si>
  <si>
    <t>res+resn</t>
  </si>
  <si>
    <t>flip</t>
  </si>
  <si>
    <t>Eint(kcal/mol)</t>
  </si>
  <si>
    <t>CapCorr(kcal/mol)</t>
  </si>
  <si>
    <t>TYR</t>
  </si>
  <si>
    <t>B</t>
  </si>
  <si>
    <t>TYR253</t>
  </si>
  <si>
    <t>-</t>
  </si>
  <si>
    <t>ALA</t>
  </si>
  <si>
    <t>ALA269</t>
  </si>
  <si>
    <t>LYS</t>
  </si>
  <si>
    <t>LYS271</t>
  </si>
  <si>
    <t>+</t>
  </si>
  <si>
    <t>THR</t>
  </si>
  <si>
    <t>THR315</t>
  </si>
  <si>
    <t>GLU</t>
  </si>
  <si>
    <t>GLU316</t>
  </si>
  <si>
    <t>PHE</t>
  </si>
  <si>
    <t>PHE317</t>
  </si>
  <si>
    <t>MET</t>
  </si>
  <si>
    <t>MET318</t>
  </si>
  <si>
    <t>GLY</t>
  </si>
  <si>
    <t>GLY321</t>
  </si>
  <si>
    <t>ASN</t>
  </si>
  <si>
    <t>ASN368</t>
  </si>
  <si>
    <t>LEU</t>
  </si>
  <si>
    <t>LEU370</t>
  </si>
  <si>
    <t>ALA380</t>
  </si>
  <si>
    <t>PHE382</t>
  </si>
  <si>
    <t>axitinib_analysis</t>
  </si>
  <si>
    <t>CNC(=O)c1ccccc1Sc1ccc2c(CCc3ccccn3)n[nH]c2c1:</t>
  </si>
  <si>
    <t>CNC(=O)c1ccccc1Sc1ccc2c(CCc3ccccn3)n[n-]c2c1:</t>
  </si>
  <si>
    <t>axitinib_analysis2</t>
  </si>
  <si>
    <t>ligand</t>
  </si>
  <si>
    <t>state</t>
  </si>
  <si>
    <t>1/1:</t>
  </si>
  <si>
    <t>axitinib_analysis6</t>
  </si>
  <si>
    <t>axitinib_analysis (cut)</t>
  </si>
  <si>
    <t>axitinib_analysis7</t>
  </si>
  <si>
    <t>axitinib_analysis13</t>
  </si>
  <si>
    <t>Verify Values "manually"</t>
  </si>
  <si>
    <t>The same as columns B-I but reduced result set to compare against obabel</t>
  </si>
  <si>
    <t>reference</t>
  </si>
  <si>
    <t>Delta</t>
  </si>
  <si>
    <t>axitinib_analysis8</t>
  </si>
  <si>
    <t>[H]C(=Cc1nn([H])c2cc(Sc3ccccc3C(=O)N([H])C)ccc12)c1ncccc1[H]:</t>
  </si>
  <si>
    <t>axitinib_analysis3</t>
  </si>
  <si>
    <t>[H]/C(=C(/[H])c1n[n-]c2cc(Sc3ccccc3C(=O)N([H])C)ccc12)c1ncccc1[H]:</t>
  </si>
  <si>
    <t>[H]c1nc(CCc2nn([H])c3cc(Sc4ccccc4C(=O)N([H])C)ccc23)ccc1[H]:</t>
  </si>
  <si>
    <t>axitinib_analysis4</t>
  </si>
  <si>
    <t>[H]c1nc(CCc2n[n-]c3cc(Sc4ccccc4C(=O)N([H])C)ccc23)ccc1[H]:</t>
  </si>
  <si>
    <t>axitinib_analysis20</t>
  </si>
  <si>
    <t>axitinib_analysis9</t>
  </si>
  <si>
    <t>axitinib_analysis10</t>
  </si>
  <si>
    <t>HOH</t>
  </si>
  <si>
    <t>HOH9176</t>
  </si>
  <si>
    <t>axitinib_analysis11</t>
  </si>
  <si>
    <t>B9000_ip_ALA_B269_1_ip.out:</t>
  </si>
  <si>
    <t>B9000_ip_ALA_B380_1_ip.out:</t>
  </si>
  <si>
    <t>B9000_ip_ASN_B368_1_ip.out:</t>
  </si>
  <si>
    <t>B9000_ip_ASN_flip_B368_1_ip.out:</t>
  </si>
  <si>
    <t>B9000_ip_GLU_B316_1_ip.out:</t>
  </si>
  <si>
    <t>B9000_ip_GLU_B316_2_ip.out:</t>
  </si>
  <si>
    <t>B9000_ip_GLY_B321_1_ip.out:</t>
  </si>
  <si>
    <t>B9000_ip_LEU_B370_1_ip.out:</t>
  </si>
  <si>
    <t>B9000_ip_LYS_B271_1_ip.out:</t>
  </si>
  <si>
    <t>B9000_ip_LYS_B271_2_ip.out:</t>
  </si>
  <si>
    <t>B9000_ip_MET_B318_1_ip.out:</t>
  </si>
  <si>
    <t>B9000_ip_PHE_B317_1_ip.out:</t>
  </si>
  <si>
    <t>B9000_ip_PHE_B382_1_ip.out:</t>
  </si>
  <si>
    <t>B9000_ip_THR_B315_1_ip.out:</t>
  </si>
  <si>
    <t>B9000_ip_TYR_B253_1_ip.out:</t>
  </si>
  <si>
    <t>B9000_ip_TYR_B253_2_ip.out:</t>
  </si>
  <si>
    <t>B9000_prot_2_ip_ALA_B269_1_ip.out:</t>
  </si>
  <si>
    <t>B9000_prot_2_ip_ALA_B380_1_ip.out:</t>
  </si>
  <si>
    <t>B9000_prot_2_ip_ASN_B368_1_ip.out:</t>
  </si>
  <si>
    <t>B9000_prot_2_ip_ASN_flip_B368_1_ip.out:</t>
  </si>
  <si>
    <t>B9000_prot_2_ip_GLU_B316_1_ip.out:</t>
  </si>
  <si>
    <t>B9000_prot_2_ip_GLU_B316_2_ip.out:</t>
  </si>
  <si>
    <t>B9000_prot_2_ip_GLY_B321_1_ip.out:</t>
  </si>
  <si>
    <t>B9000_prot_2_ip_LEU_B370_1_ip.out:</t>
  </si>
  <si>
    <t>B9000_prot_2_ip_LYS_B271_1_ip.out:</t>
  </si>
  <si>
    <t>B9000_prot_2_ip_LYS_B271_2_ip.out:</t>
  </si>
  <si>
    <t>B9000_prot_2_ip_MET_B318_1_ip.out:</t>
  </si>
  <si>
    <t>B9000_prot_2_ip_PHE_B317_1_ip.out:</t>
  </si>
  <si>
    <t>B9000_prot_2_ip_PHE_B382_1_ip.out:</t>
  </si>
  <si>
    <t>B9000_prot_2_ip_THR_B315_1_ip.out:</t>
  </si>
  <si>
    <t>B9000_prot_2_ip_TYR_B253_1_ip.out:</t>
  </si>
  <si>
    <t>B9000_prot_2_ip_TYR_B253_2_ip.out: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</si>
</sst>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Sheet1!$F$5:$F$20</c:f>
              <c:strCache>
                <c:ptCount val="16"/>
                <c:pt idx="0">
                  <c:v>TYR253</c:v>
                </c:pt>
                <c:pt idx="1">
                  <c:v>TYR253</c:v>
                </c:pt>
                <c:pt idx="2">
                  <c:v>ALA269</c:v>
                </c:pt>
                <c:pt idx="3">
                  <c:v>LYS271</c:v>
                </c:pt>
                <c:pt idx="4">
                  <c:v>LYS271</c:v>
                </c:pt>
                <c:pt idx="5">
                  <c:v>THR315</c:v>
                </c:pt>
                <c:pt idx="6">
                  <c:v>GLU316</c:v>
                </c:pt>
                <c:pt idx="7">
                  <c:v>GLU316</c:v>
                </c:pt>
                <c:pt idx="8">
                  <c:v>PHE317</c:v>
                </c:pt>
                <c:pt idx="9">
                  <c:v>MET318</c:v>
                </c:pt>
                <c:pt idx="10">
                  <c:v>GLY321</c:v>
                </c:pt>
                <c:pt idx="11">
                  <c:v>ASN368</c:v>
                </c:pt>
                <c:pt idx="12">
                  <c:v>LEU370</c:v>
                </c:pt>
                <c:pt idx="13">
                  <c:v>ALA380</c:v>
                </c:pt>
                <c:pt idx="14">
                  <c:v>PHE382</c:v>
                </c:pt>
                <c:pt idx="15">
                  <c:v>ASN368</c:v>
                </c:pt>
              </c:strCache>
            </c:strRef>
          </c:cat>
          <c:val>
            <c:numRef>
              <c:f>Sheet1!$H$5:$H$20</c:f>
              <c:numCache>
                <c:formatCode>General</c:formatCode>
                <c:ptCount val="16"/>
                <c:pt idx="0">
                  <c:v>-4.2168469999999996</c:v>
                </c:pt>
                <c:pt idx="1">
                  <c:v>-11.919797000000001</c:v>
                </c:pt>
                <c:pt idx="2">
                  <c:v>-2.4219870000000001</c:v>
                </c:pt>
                <c:pt idx="3">
                  <c:v>-4.3446009999999999</c:v>
                </c:pt>
                <c:pt idx="4">
                  <c:v>-9.1156009999999998</c:v>
                </c:pt>
                <c:pt idx="5">
                  <c:v>-3.0183789999999999</c:v>
                </c:pt>
                <c:pt idx="6">
                  <c:v>-5.0242380000000004</c:v>
                </c:pt>
                <c:pt idx="7">
                  <c:v>-4.5413629999999996</c:v>
                </c:pt>
                <c:pt idx="8">
                  <c:v>-6.0900379999999998</c:v>
                </c:pt>
                <c:pt idx="9">
                  <c:v>-6.8570929999999999</c:v>
                </c:pt>
                <c:pt idx="10">
                  <c:v>-2.3329309999999999</c:v>
                </c:pt>
                <c:pt idx="11">
                  <c:v>-3.5816560000000002</c:v>
                </c:pt>
                <c:pt idx="12">
                  <c:v>-4.3724569999999998</c:v>
                </c:pt>
                <c:pt idx="13">
                  <c:v>-2.5851649999999999</c:v>
                </c:pt>
                <c:pt idx="14">
                  <c:v>-6.5406649999999997</c:v>
                </c:pt>
                <c:pt idx="15">
                  <c:v>-1.4130210000000001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95-0E4F-B433-137D180E08E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Sheet1!$AK$5:$AK$20</c:f>
              <c:numCache>
                <c:formatCode>General</c:formatCode>
                <c:ptCount val="16"/>
                <c:pt idx="0">
                  <c:v>-3.7266110000000001</c:v>
                </c:pt>
                <c:pt idx="1">
                  <c:v>-11.463321000000001</c:v>
                </c:pt>
                <c:pt idx="2">
                  <c:v>-1.992375</c:v>
                </c:pt>
                <c:pt idx="3">
                  <c:v>-3.847162</c:v>
                </c:pt>
                <c:pt idx="4">
                  <c:v>-8.5649490000000004</c:v>
                </c:pt>
                <c:pt idx="5">
                  <c:v>-2.4220000000000002</c:v>
                </c:pt>
                <c:pt idx="6">
                  <c:v>-4.1681520000000001</c:v>
                </c:pt>
                <c:pt idx="7">
                  <c:v>-3.6318760000000001</c:v>
                </c:pt>
                <c:pt idx="8">
                  <c:v>-5.8596979999999999</c:v>
                </c:pt>
                <c:pt idx="9">
                  <c:v>-6.930167</c:v>
                </c:pt>
                <c:pt idx="10">
                  <c:v>-1.772559</c:v>
                </c:pt>
                <c:pt idx="11">
                  <c:v>-3.0642309999999999</c:v>
                </c:pt>
                <c:pt idx="12">
                  <c:v>-3.8923869999999998</c:v>
                </c:pt>
                <c:pt idx="13">
                  <c:v>-2.0859679999999998</c:v>
                </c:pt>
                <c:pt idx="14">
                  <c:v>-6.0430060000000001</c:v>
                </c:pt>
                <c:pt idx="15">
                  <c:v>-0.92885300000000004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95-0E4F-B433-137D180E0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189296"/>
        <c:axId val="335247632"/>
      </c:lineChart>
      <c:catAx>
        <c:axId val="33518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247632"/>
        <c:crosses val="autoZero"/>
        <c:auto val="1"/>
        <c:lblAlgn val="ctr"/>
        <c:lblOffset val="100"/>
        <c:noMultiLvlLbl val="0"/>
      </c:catAx>
      <c:valAx>
        <c:axId val="3352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18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Sheet1!$F$24:$F$39</c:f>
              <c:strCache>
                <c:ptCount val="16"/>
                <c:pt idx="0">
                  <c:v>TYR253</c:v>
                </c:pt>
                <c:pt idx="1">
                  <c:v>TYR253</c:v>
                </c:pt>
                <c:pt idx="2">
                  <c:v>ALA269</c:v>
                </c:pt>
                <c:pt idx="3">
                  <c:v>LYS271</c:v>
                </c:pt>
                <c:pt idx="4">
                  <c:v>LYS271</c:v>
                </c:pt>
                <c:pt idx="5">
                  <c:v>THR315</c:v>
                </c:pt>
                <c:pt idx="6">
                  <c:v>GLU316</c:v>
                </c:pt>
                <c:pt idx="7">
                  <c:v>GLU316</c:v>
                </c:pt>
                <c:pt idx="8">
                  <c:v>PHE317</c:v>
                </c:pt>
                <c:pt idx="9">
                  <c:v>MET318</c:v>
                </c:pt>
                <c:pt idx="10">
                  <c:v>GLY321</c:v>
                </c:pt>
                <c:pt idx="11">
                  <c:v>ASN368</c:v>
                </c:pt>
                <c:pt idx="12">
                  <c:v>LEU370</c:v>
                </c:pt>
                <c:pt idx="13">
                  <c:v>ALA380</c:v>
                </c:pt>
                <c:pt idx="14">
                  <c:v>PHE382</c:v>
                </c:pt>
                <c:pt idx="15">
                  <c:v>ASN368</c:v>
                </c:pt>
              </c:strCache>
            </c:strRef>
          </c:cat>
          <c:val>
            <c:numRef>
              <c:f>Sheet1!$H$24:$H$39</c:f>
              <c:numCache>
                <c:formatCode>General</c:formatCode>
                <c:ptCount val="16"/>
                <c:pt idx="0">
                  <c:v>-3.7181769999999998</c:v>
                </c:pt>
                <c:pt idx="1">
                  <c:v>-11.938196</c:v>
                </c:pt>
                <c:pt idx="2">
                  <c:v>-2.053169</c:v>
                </c:pt>
                <c:pt idx="3">
                  <c:v>-5.0249980000000001</c:v>
                </c:pt>
                <c:pt idx="4">
                  <c:v>-10.312688</c:v>
                </c:pt>
                <c:pt idx="5">
                  <c:v>1.3586450000000001</c:v>
                </c:pt>
                <c:pt idx="6">
                  <c:v>2.156542</c:v>
                </c:pt>
                <c:pt idx="7">
                  <c:v>3.7155339999999999</c:v>
                </c:pt>
                <c:pt idx="8">
                  <c:v>-5.3490000000000002</c:v>
                </c:pt>
                <c:pt idx="9">
                  <c:v>-10.891303000000001</c:v>
                </c:pt>
                <c:pt idx="10">
                  <c:v>-2.7100710000000001</c:v>
                </c:pt>
                <c:pt idx="11">
                  <c:v>-3.4862880000000001</c:v>
                </c:pt>
                <c:pt idx="12">
                  <c:v>-3.6668159999999999</c:v>
                </c:pt>
                <c:pt idx="13">
                  <c:v>-2.3797060000000001</c:v>
                </c:pt>
                <c:pt idx="14">
                  <c:v>-6.7600680000000004</c:v>
                </c:pt>
                <c:pt idx="15">
                  <c:v>-1.583653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B-7A49-865A-E70FAB91CE6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Sheet1!$F$24:$F$39</c:f>
              <c:strCache>
                <c:ptCount val="16"/>
                <c:pt idx="0">
                  <c:v>TYR253</c:v>
                </c:pt>
                <c:pt idx="1">
                  <c:v>TYR253</c:v>
                </c:pt>
                <c:pt idx="2">
                  <c:v>ALA269</c:v>
                </c:pt>
                <c:pt idx="3">
                  <c:v>LYS271</c:v>
                </c:pt>
                <c:pt idx="4">
                  <c:v>LYS271</c:v>
                </c:pt>
                <c:pt idx="5">
                  <c:v>THR315</c:v>
                </c:pt>
                <c:pt idx="6">
                  <c:v>GLU316</c:v>
                </c:pt>
                <c:pt idx="7">
                  <c:v>GLU316</c:v>
                </c:pt>
                <c:pt idx="8">
                  <c:v>PHE317</c:v>
                </c:pt>
                <c:pt idx="9">
                  <c:v>MET318</c:v>
                </c:pt>
                <c:pt idx="10">
                  <c:v>GLY321</c:v>
                </c:pt>
                <c:pt idx="11">
                  <c:v>ASN368</c:v>
                </c:pt>
                <c:pt idx="12">
                  <c:v>LEU370</c:v>
                </c:pt>
                <c:pt idx="13">
                  <c:v>ALA380</c:v>
                </c:pt>
                <c:pt idx="14">
                  <c:v>PHE382</c:v>
                </c:pt>
                <c:pt idx="15">
                  <c:v>ASN368</c:v>
                </c:pt>
              </c:strCache>
            </c:strRef>
          </c:cat>
          <c:val>
            <c:numRef>
              <c:f>Sheet1!$AK$24:$AK$39</c:f>
              <c:numCache>
                <c:formatCode>General</c:formatCode>
                <c:ptCount val="16"/>
                <c:pt idx="0">
                  <c:v>-2.9110239999999998</c:v>
                </c:pt>
                <c:pt idx="1">
                  <c:v>-12.039488</c:v>
                </c:pt>
                <c:pt idx="2">
                  <c:v>-1.6507590000000001</c:v>
                </c:pt>
                <c:pt idx="3">
                  <c:v>-4.5592350000000001</c:v>
                </c:pt>
                <c:pt idx="4">
                  <c:v>-9.7469629999999992</c:v>
                </c:pt>
                <c:pt idx="5">
                  <c:v>1.874088</c:v>
                </c:pt>
                <c:pt idx="6">
                  <c:v>3.251045</c:v>
                </c:pt>
                <c:pt idx="7">
                  <c:v>4.8464309999999999</c:v>
                </c:pt>
                <c:pt idx="8">
                  <c:v>-5.0946389999999999</c:v>
                </c:pt>
                <c:pt idx="9">
                  <c:v>-11.791923000000001</c:v>
                </c:pt>
                <c:pt idx="10">
                  <c:v>-1.928884</c:v>
                </c:pt>
                <c:pt idx="11">
                  <c:v>-2.9317380000000002</c:v>
                </c:pt>
                <c:pt idx="12">
                  <c:v>-3.137982</c:v>
                </c:pt>
                <c:pt idx="13">
                  <c:v>-1.853966</c:v>
                </c:pt>
                <c:pt idx="14">
                  <c:v>-6.268383</c:v>
                </c:pt>
                <c:pt idx="15">
                  <c:v>-1.080309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EB-7A49-865A-E70FAB91C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189296"/>
        <c:axId val="335247632"/>
      </c:lineChart>
      <c:catAx>
        <c:axId val="33518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247632"/>
        <c:crosses val="autoZero"/>
        <c:auto val="1"/>
        <c:lblAlgn val="ctr"/>
        <c:lblOffset val="100"/>
        <c:noMultiLvlLbl val="0"/>
      </c:catAx>
      <c:valAx>
        <c:axId val="3352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18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Sheet1!$BA$5:$BA$17</c:f>
              <c:strCache>
                <c:ptCount val="13"/>
                <c:pt idx="0">
                  <c:v>TYR253</c:v>
                </c:pt>
                <c:pt idx="1">
                  <c:v>ALA269</c:v>
                </c:pt>
                <c:pt idx="2">
                  <c:v>LYS271</c:v>
                </c:pt>
                <c:pt idx="3">
                  <c:v>THR315</c:v>
                </c:pt>
                <c:pt idx="4">
                  <c:v>GLU316</c:v>
                </c:pt>
                <c:pt idx="5">
                  <c:v>PHE317</c:v>
                </c:pt>
                <c:pt idx="6">
                  <c:v>MET318</c:v>
                </c:pt>
                <c:pt idx="7">
                  <c:v>GLY321</c:v>
                </c:pt>
                <c:pt idx="8">
                  <c:v>ASN368</c:v>
                </c:pt>
                <c:pt idx="9">
                  <c:v>LEU370</c:v>
                </c:pt>
                <c:pt idx="10">
                  <c:v>ALA380</c:v>
                </c:pt>
                <c:pt idx="11">
                  <c:v>PHE382</c:v>
                </c:pt>
                <c:pt idx="12">
                  <c:v>ASN368</c:v>
                </c:pt>
              </c:strCache>
            </c:strRef>
          </c:cat>
          <c:val>
            <c:numRef>
              <c:f>Sheet1!$BC$5:$BC$17</c:f>
              <c:numCache>
                <c:formatCode>General</c:formatCode>
                <c:ptCount val="13"/>
                <c:pt idx="0">
                  <c:v>-4.2168469999999996</c:v>
                </c:pt>
                <c:pt idx="1">
                  <c:v>-2.4219870000000001</c:v>
                </c:pt>
                <c:pt idx="2">
                  <c:v>-9.1156009999999998</c:v>
                </c:pt>
                <c:pt idx="3">
                  <c:v>-3.0183789999999999</c:v>
                </c:pt>
                <c:pt idx="4">
                  <c:v>-4.5413629999999996</c:v>
                </c:pt>
                <c:pt idx="5">
                  <c:v>-6.0900379999999998</c:v>
                </c:pt>
                <c:pt idx="6">
                  <c:v>-6.8570929999999999</c:v>
                </c:pt>
                <c:pt idx="7">
                  <c:v>-2.3329309999999999</c:v>
                </c:pt>
                <c:pt idx="8">
                  <c:v>-3.5816560000000002</c:v>
                </c:pt>
                <c:pt idx="9">
                  <c:v>-4.3724569999999998</c:v>
                </c:pt>
                <c:pt idx="10">
                  <c:v>-2.5851649999999999</c:v>
                </c:pt>
                <c:pt idx="11">
                  <c:v>-6.5406649999999997</c:v>
                </c:pt>
                <c:pt idx="12">
                  <c:v>-1.4130210000000001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7A-024D-BC6C-0B8D62D3E21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Sheet1!$BA$5:$BA$17</c:f>
              <c:strCache>
                <c:ptCount val="13"/>
                <c:pt idx="0">
                  <c:v>TYR253</c:v>
                </c:pt>
                <c:pt idx="1">
                  <c:v>ALA269</c:v>
                </c:pt>
                <c:pt idx="2">
                  <c:v>LYS271</c:v>
                </c:pt>
                <c:pt idx="3">
                  <c:v>THR315</c:v>
                </c:pt>
                <c:pt idx="4">
                  <c:v>GLU316</c:v>
                </c:pt>
                <c:pt idx="5">
                  <c:v>PHE317</c:v>
                </c:pt>
                <c:pt idx="6">
                  <c:v>MET318</c:v>
                </c:pt>
                <c:pt idx="7">
                  <c:v>GLY321</c:v>
                </c:pt>
                <c:pt idx="8">
                  <c:v>ASN368</c:v>
                </c:pt>
                <c:pt idx="9">
                  <c:v>LEU370</c:v>
                </c:pt>
                <c:pt idx="10">
                  <c:v>ALA380</c:v>
                </c:pt>
                <c:pt idx="11">
                  <c:v>PHE382</c:v>
                </c:pt>
                <c:pt idx="12">
                  <c:v>ASN368</c:v>
                </c:pt>
              </c:strCache>
            </c:strRef>
          </c:cat>
          <c:val>
            <c:numRef>
              <c:f>Sheet1!$BL$5:$BL$17</c:f>
              <c:numCache>
                <c:formatCode>General</c:formatCode>
                <c:ptCount val="13"/>
                <c:pt idx="0">
                  <c:v>-4.2077540000000004</c:v>
                </c:pt>
                <c:pt idx="1">
                  <c:v>-2.4043540000000001</c:v>
                </c:pt>
                <c:pt idx="2">
                  <c:v>-9.0662160000000007</c:v>
                </c:pt>
                <c:pt idx="3">
                  <c:v>-3.302076</c:v>
                </c:pt>
                <c:pt idx="4">
                  <c:v>-4.5459820000000004</c:v>
                </c:pt>
                <c:pt idx="5">
                  <c:v>-6.0777200000000002</c:v>
                </c:pt>
                <c:pt idx="6">
                  <c:v>-6.8342770000000002</c:v>
                </c:pt>
                <c:pt idx="7">
                  <c:v>-2.3352650000000001</c:v>
                </c:pt>
                <c:pt idx="8">
                  <c:v>-3.5726830000000001</c:v>
                </c:pt>
                <c:pt idx="9">
                  <c:v>-4.3670910000000003</c:v>
                </c:pt>
                <c:pt idx="10">
                  <c:v>-2.624177</c:v>
                </c:pt>
                <c:pt idx="11">
                  <c:v>-6.5305499999999999</c:v>
                </c:pt>
                <c:pt idx="12">
                  <c:v>-1.397929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7A-024D-BC6C-0B8D62D3E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189296"/>
        <c:axId val="335247632"/>
      </c:lineChart>
      <c:catAx>
        <c:axId val="33518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247632"/>
        <c:crosses val="autoZero"/>
        <c:auto val="1"/>
        <c:lblAlgn val="ctr"/>
        <c:lblOffset val="100"/>
        <c:noMultiLvlLbl val="0"/>
      </c:catAx>
      <c:valAx>
        <c:axId val="3352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18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Sheet1!$BA$5:$BA$17</c:f>
              <c:strCache>
                <c:ptCount val="13"/>
                <c:pt idx="0">
                  <c:v>TYR253</c:v>
                </c:pt>
                <c:pt idx="1">
                  <c:v>ALA269</c:v>
                </c:pt>
                <c:pt idx="2">
                  <c:v>LYS271</c:v>
                </c:pt>
                <c:pt idx="3">
                  <c:v>THR315</c:v>
                </c:pt>
                <c:pt idx="4">
                  <c:v>GLU316</c:v>
                </c:pt>
                <c:pt idx="5">
                  <c:v>PHE317</c:v>
                </c:pt>
                <c:pt idx="6">
                  <c:v>MET318</c:v>
                </c:pt>
                <c:pt idx="7">
                  <c:v>GLY321</c:v>
                </c:pt>
                <c:pt idx="8">
                  <c:v>ASN368</c:v>
                </c:pt>
                <c:pt idx="9">
                  <c:v>LEU370</c:v>
                </c:pt>
                <c:pt idx="10">
                  <c:v>ALA380</c:v>
                </c:pt>
                <c:pt idx="11">
                  <c:v>PHE382</c:v>
                </c:pt>
                <c:pt idx="12">
                  <c:v>ASN368</c:v>
                </c:pt>
              </c:strCache>
            </c:strRef>
          </c:cat>
          <c:val>
            <c:numRef>
              <c:f>Sheet1!$BC$5:$BC$17</c:f>
              <c:numCache>
                <c:formatCode>General</c:formatCode>
                <c:ptCount val="13"/>
                <c:pt idx="0">
                  <c:v>-4.2168469999999996</c:v>
                </c:pt>
                <c:pt idx="1">
                  <c:v>-2.4219870000000001</c:v>
                </c:pt>
                <c:pt idx="2">
                  <c:v>-9.1156009999999998</c:v>
                </c:pt>
                <c:pt idx="3">
                  <c:v>-3.0183789999999999</c:v>
                </c:pt>
                <c:pt idx="4">
                  <c:v>-4.5413629999999996</c:v>
                </c:pt>
                <c:pt idx="5">
                  <c:v>-6.0900379999999998</c:v>
                </c:pt>
                <c:pt idx="6">
                  <c:v>-6.8570929999999999</c:v>
                </c:pt>
                <c:pt idx="7">
                  <c:v>-2.3329309999999999</c:v>
                </c:pt>
                <c:pt idx="8">
                  <c:v>-3.5816560000000002</c:v>
                </c:pt>
                <c:pt idx="9">
                  <c:v>-4.3724569999999998</c:v>
                </c:pt>
                <c:pt idx="10">
                  <c:v>-2.5851649999999999</c:v>
                </c:pt>
                <c:pt idx="11">
                  <c:v>-6.5406649999999997</c:v>
                </c:pt>
                <c:pt idx="12">
                  <c:v>-1.4130210000000001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B-FB47-AF90-741FDF077C6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Sheet1!$BA$5:$BA$17</c:f>
              <c:strCache>
                <c:ptCount val="13"/>
                <c:pt idx="0">
                  <c:v>TYR253</c:v>
                </c:pt>
                <c:pt idx="1">
                  <c:v>ALA269</c:v>
                </c:pt>
                <c:pt idx="2">
                  <c:v>LYS271</c:v>
                </c:pt>
                <c:pt idx="3">
                  <c:v>THR315</c:v>
                </c:pt>
                <c:pt idx="4">
                  <c:v>GLU316</c:v>
                </c:pt>
                <c:pt idx="5">
                  <c:v>PHE317</c:v>
                </c:pt>
                <c:pt idx="6">
                  <c:v>MET318</c:v>
                </c:pt>
                <c:pt idx="7">
                  <c:v>GLY321</c:v>
                </c:pt>
                <c:pt idx="8">
                  <c:v>ASN368</c:v>
                </c:pt>
                <c:pt idx="9">
                  <c:v>LEU370</c:v>
                </c:pt>
                <c:pt idx="10">
                  <c:v>ALA380</c:v>
                </c:pt>
                <c:pt idx="11">
                  <c:v>PHE382</c:v>
                </c:pt>
                <c:pt idx="12">
                  <c:v>ASN368</c:v>
                </c:pt>
              </c:strCache>
            </c:strRef>
          </c:cat>
          <c:val>
            <c:numRef>
              <c:f>Sheet1!$BL$22:$BL$34</c:f>
              <c:numCache>
                <c:formatCode>General</c:formatCode>
                <c:ptCount val="13"/>
                <c:pt idx="0">
                  <c:v>-4.227665</c:v>
                </c:pt>
                <c:pt idx="1">
                  <c:v>-2.4145759999999998</c:v>
                </c:pt>
                <c:pt idx="2">
                  <c:v>-9.1092130000000004</c:v>
                </c:pt>
                <c:pt idx="3">
                  <c:v>-3.0004439999999999</c:v>
                </c:pt>
                <c:pt idx="4">
                  <c:v>-4.527018</c:v>
                </c:pt>
                <c:pt idx="5">
                  <c:v>-6.0968280000000004</c:v>
                </c:pt>
                <c:pt idx="6">
                  <c:v>-6.8483020000000003</c:v>
                </c:pt>
                <c:pt idx="7">
                  <c:v>-2.334876</c:v>
                </c:pt>
                <c:pt idx="8">
                  <c:v>-3.55911</c:v>
                </c:pt>
                <c:pt idx="9">
                  <c:v>-4.3413259999999996</c:v>
                </c:pt>
                <c:pt idx="10">
                  <c:v>-2.5998359999999998</c:v>
                </c:pt>
                <c:pt idx="11">
                  <c:v>-6.5179369999999999</c:v>
                </c:pt>
                <c:pt idx="12">
                  <c:v>-1.3853599999999999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B-FB47-AF90-741FDF077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189296"/>
        <c:axId val="335247632"/>
      </c:lineChart>
      <c:catAx>
        <c:axId val="33518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247632"/>
        <c:crosses val="autoZero"/>
        <c:auto val="1"/>
        <c:lblAlgn val="ctr"/>
        <c:lblOffset val="100"/>
        <c:noMultiLvlLbl val="0"/>
      </c:catAx>
      <c:valAx>
        <c:axId val="3352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18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Sheet1!$F$5:$F$20</c:f>
              <c:strCache>
                <c:ptCount val="16"/>
                <c:pt idx="0">
                  <c:v>TYR253</c:v>
                </c:pt>
                <c:pt idx="1">
                  <c:v>TYR253</c:v>
                </c:pt>
                <c:pt idx="2">
                  <c:v>ALA269</c:v>
                </c:pt>
                <c:pt idx="3">
                  <c:v>LYS271</c:v>
                </c:pt>
                <c:pt idx="4">
                  <c:v>LYS271</c:v>
                </c:pt>
                <c:pt idx="5">
                  <c:v>THR315</c:v>
                </c:pt>
                <c:pt idx="6">
                  <c:v>GLU316</c:v>
                </c:pt>
                <c:pt idx="7">
                  <c:v>GLU316</c:v>
                </c:pt>
                <c:pt idx="8">
                  <c:v>PHE317</c:v>
                </c:pt>
                <c:pt idx="9">
                  <c:v>MET318</c:v>
                </c:pt>
                <c:pt idx="10">
                  <c:v>GLY321</c:v>
                </c:pt>
                <c:pt idx="11">
                  <c:v>ASN368</c:v>
                </c:pt>
                <c:pt idx="12">
                  <c:v>LEU370</c:v>
                </c:pt>
                <c:pt idx="13">
                  <c:v>ALA380</c:v>
                </c:pt>
                <c:pt idx="14">
                  <c:v>PHE382</c:v>
                </c:pt>
                <c:pt idx="15">
                  <c:v>ASN368</c:v>
                </c:pt>
              </c:strCache>
            </c:strRef>
          </c:cat>
          <c:val>
            <c:numRef>
              <c:f>Sheet1!$H$5:$H$20</c:f>
              <c:numCache>
                <c:formatCode>General</c:formatCode>
                <c:ptCount val="16"/>
                <c:pt idx="0">
                  <c:v>-4.2168469999999996</c:v>
                </c:pt>
                <c:pt idx="1">
                  <c:v>-11.919797000000001</c:v>
                </c:pt>
                <c:pt idx="2">
                  <c:v>-2.4219870000000001</c:v>
                </c:pt>
                <c:pt idx="3">
                  <c:v>-4.3446009999999999</c:v>
                </c:pt>
                <c:pt idx="4">
                  <c:v>-9.1156009999999998</c:v>
                </c:pt>
                <c:pt idx="5">
                  <c:v>-3.0183789999999999</c:v>
                </c:pt>
                <c:pt idx="6">
                  <c:v>-5.0242380000000004</c:v>
                </c:pt>
                <c:pt idx="7">
                  <c:v>-4.5413629999999996</c:v>
                </c:pt>
                <c:pt idx="8">
                  <c:v>-6.0900379999999998</c:v>
                </c:pt>
                <c:pt idx="9">
                  <c:v>-6.8570929999999999</c:v>
                </c:pt>
                <c:pt idx="10">
                  <c:v>-2.3329309999999999</c:v>
                </c:pt>
                <c:pt idx="11">
                  <c:v>-3.5816560000000002</c:v>
                </c:pt>
                <c:pt idx="12">
                  <c:v>-4.3724569999999998</c:v>
                </c:pt>
                <c:pt idx="13">
                  <c:v>-2.5851649999999999</c:v>
                </c:pt>
                <c:pt idx="14">
                  <c:v>-6.5406649999999997</c:v>
                </c:pt>
                <c:pt idx="15">
                  <c:v>-1.4130210000000001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1C-4668-A348-0CD9C6A7ADF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Sheet1!$S$5:$S$20</c:f>
              <c:numCache>
                <c:formatCode>General</c:formatCode>
                <c:ptCount val="16"/>
                <c:pt idx="0">
                  <c:v>-4.2168469999999996</c:v>
                </c:pt>
                <c:pt idx="1">
                  <c:v>-11.919797000000001</c:v>
                </c:pt>
                <c:pt idx="2">
                  <c:v>-2.4219870000000001</c:v>
                </c:pt>
                <c:pt idx="3">
                  <c:v>-4.3446009999999999</c:v>
                </c:pt>
                <c:pt idx="4">
                  <c:v>-9.1156009999999998</c:v>
                </c:pt>
                <c:pt idx="5">
                  <c:v>-3.0183789999999999</c:v>
                </c:pt>
                <c:pt idx="6">
                  <c:v>-5.0242380000000004</c:v>
                </c:pt>
                <c:pt idx="7">
                  <c:v>-4.5413629999999996</c:v>
                </c:pt>
                <c:pt idx="8">
                  <c:v>-6.0900379999999998</c:v>
                </c:pt>
                <c:pt idx="9">
                  <c:v>-6.8570929999999999</c:v>
                </c:pt>
                <c:pt idx="10">
                  <c:v>-2.3329309999999999</c:v>
                </c:pt>
                <c:pt idx="11">
                  <c:v>-3.5816560000000002</c:v>
                </c:pt>
                <c:pt idx="12">
                  <c:v>-4.3724569999999998</c:v>
                </c:pt>
                <c:pt idx="13">
                  <c:v>-2.5851649999999999</c:v>
                </c:pt>
                <c:pt idx="14">
                  <c:v>-6.5406649999999997</c:v>
                </c:pt>
                <c:pt idx="15">
                  <c:v>-1.4130210000000001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1C-4668-A348-0CD9C6A7A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189296"/>
        <c:axId val="335247632"/>
      </c:lineChart>
      <c:catAx>
        <c:axId val="33518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247632"/>
        <c:crosses val="autoZero"/>
        <c:auto val="1"/>
        <c:lblAlgn val="ctr"/>
        <c:lblOffset val="100"/>
        <c:noMultiLvlLbl val="0"/>
      </c:catAx>
      <c:valAx>
        <c:axId val="3352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18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Sheet1!$F$24:$F$39</c:f>
              <c:strCache>
                <c:ptCount val="16"/>
                <c:pt idx="0">
                  <c:v>TYR253</c:v>
                </c:pt>
                <c:pt idx="1">
                  <c:v>TYR253</c:v>
                </c:pt>
                <c:pt idx="2">
                  <c:v>ALA269</c:v>
                </c:pt>
                <c:pt idx="3">
                  <c:v>LYS271</c:v>
                </c:pt>
                <c:pt idx="4">
                  <c:v>LYS271</c:v>
                </c:pt>
                <c:pt idx="5">
                  <c:v>THR315</c:v>
                </c:pt>
                <c:pt idx="6">
                  <c:v>GLU316</c:v>
                </c:pt>
                <c:pt idx="7">
                  <c:v>GLU316</c:v>
                </c:pt>
                <c:pt idx="8">
                  <c:v>PHE317</c:v>
                </c:pt>
                <c:pt idx="9">
                  <c:v>MET318</c:v>
                </c:pt>
                <c:pt idx="10">
                  <c:v>GLY321</c:v>
                </c:pt>
                <c:pt idx="11">
                  <c:v>ASN368</c:v>
                </c:pt>
                <c:pt idx="12">
                  <c:v>LEU370</c:v>
                </c:pt>
                <c:pt idx="13">
                  <c:v>ALA380</c:v>
                </c:pt>
                <c:pt idx="14">
                  <c:v>PHE382</c:v>
                </c:pt>
                <c:pt idx="15">
                  <c:v>ASN368</c:v>
                </c:pt>
              </c:strCache>
            </c:strRef>
          </c:cat>
          <c:val>
            <c:numRef>
              <c:f>Sheet1!$H$24:$H$39</c:f>
              <c:numCache>
                <c:formatCode>General</c:formatCode>
                <c:ptCount val="16"/>
                <c:pt idx="0">
                  <c:v>-3.7181769999999998</c:v>
                </c:pt>
                <c:pt idx="1">
                  <c:v>-11.938196</c:v>
                </c:pt>
                <c:pt idx="2">
                  <c:v>-2.053169</c:v>
                </c:pt>
                <c:pt idx="3">
                  <c:v>-5.0249980000000001</c:v>
                </c:pt>
                <c:pt idx="4">
                  <c:v>-10.312688</c:v>
                </c:pt>
                <c:pt idx="5">
                  <c:v>1.3586450000000001</c:v>
                </c:pt>
                <c:pt idx="6">
                  <c:v>2.156542</c:v>
                </c:pt>
                <c:pt idx="7">
                  <c:v>3.7155339999999999</c:v>
                </c:pt>
                <c:pt idx="8">
                  <c:v>-5.3490000000000002</c:v>
                </c:pt>
                <c:pt idx="9">
                  <c:v>-10.891303000000001</c:v>
                </c:pt>
                <c:pt idx="10">
                  <c:v>-2.7100710000000001</c:v>
                </c:pt>
                <c:pt idx="11">
                  <c:v>-3.4862880000000001</c:v>
                </c:pt>
                <c:pt idx="12">
                  <c:v>-3.6668159999999999</c:v>
                </c:pt>
                <c:pt idx="13">
                  <c:v>-2.3797060000000001</c:v>
                </c:pt>
                <c:pt idx="14">
                  <c:v>-6.7600680000000004</c:v>
                </c:pt>
                <c:pt idx="15">
                  <c:v>-1.583653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D0-4692-A77D-E15FA973334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Sheet1!$F$24:$F$39</c:f>
              <c:strCache>
                <c:ptCount val="16"/>
                <c:pt idx="0">
                  <c:v>TYR253</c:v>
                </c:pt>
                <c:pt idx="1">
                  <c:v>TYR253</c:v>
                </c:pt>
                <c:pt idx="2">
                  <c:v>ALA269</c:v>
                </c:pt>
                <c:pt idx="3">
                  <c:v>LYS271</c:v>
                </c:pt>
                <c:pt idx="4">
                  <c:v>LYS271</c:v>
                </c:pt>
                <c:pt idx="5">
                  <c:v>THR315</c:v>
                </c:pt>
                <c:pt idx="6">
                  <c:v>GLU316</c:v>
                </c:pt>
                <c:pt idx="7">
                  <c:v>GLU316</c:v>
                </c:pt>
                <c:pt idx="8">
                  <c:v>PHE317</c:v>
                </c:pt>
                <c:pt idx="9">
                  <c:v>MET318</c:v>
                </c:pt>
                <c:pt idx="10">
                  <c:v>GLY321</c:v>
                </c:pt>
                <c:pt idx="11">
                  <c:v>ASN368</c:v>
                </c:pt>
                <c:pt idx="12">
                  <c:v>LEU370</c:v>
                </c:pt>
                <c:pt idx="13">
                  <c:v>ALA380</c:v>
                </c:pt>
                <c:pt idx="14">
                  <c:v>PHE382</c:v>
                </c:pt>
                <c:pt idx="15">
                  <c:v>ASN368</c:v>
                </c:pt>
              </c:strCache>
            </c:strRef>
          </c:cat>
          <c:val>
            <c:numRef>
              <c:f>Sheet1!$S$24:$S$39</c:f>
              <c:numCache>
                <c:formatCode>General</c:formatCode>
                <c:ptCount val="16"/>
                <c:pt idx="0">
                  <c:v>-3.7181769999999998</c:v>
                </c:pt>
                <c:pt idx="1">
                  <c:v>-11.938196</c:v>
                </c:pt>
                <c:pt idx="2">
                  <c:v>-2.053169</c:v>
                </c:pt>
                <c:pt idx="3">
                  <c:v>-5.0249980000000001</c:v>
                </c:pt>
                <c:pt idx="4">
                  <c:v>-10.312688</c:v>
                </c:pt>
                <c:pt idx="5">
                  <c:v>1.3586450000000001</c:v>
                </c:pt>
                <c:pt idx="6">
                  <c:v>2.156542</c:v>
                </c:pt>
                <c:pt idx="7">
                  <c:v>3.7155339999999999</c:v>
                </c:pt>
                <c:pt idx="8">
                  <c:v>-5.3490000000000002</c:v>
                </c:pt>
                <c:pt idx="9">
                  <c:v>-10.891303000000001</c:v>
                </c:pt>
                <c:pt idx="10">
                  <c:v>-2.7100710000000001</c:v>
                </c:pt>
                <c:pt idx="11">
                  <c:v>-3.4862880000000001</c:v>
                </c:pt>
                <c:pt idx="12">
                  <c:v>-3.6668159999999999</c:v>
                </c:pt>
                <c:pt idx="13">
                  <c:v>-2.3797060000000001</c:v>
                </c:pt>
                <c:pt idx="14">
                  <c:v>-6.7600680000000004</c:v>
                </c:pt>
                <c:pt idx="15">
                  <c:v>-1.583653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D0-4692-A77D-E15FA9733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189296"/>
        <c:axId val="335247632"/>
      </c:lineChart>
      <c:catAx>
        <c:axId val="33518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247632"/>
        <c:crosses val="autoZero"/>
        <c:auto val="1"/>
        <c:lblAlgn val="ctr"/>
        <c:lblOffset val="100"/>
        <c:noMultiLvlLbl val="0"/>
      </c:catAx>
      <c:valAx>
        <c:axId val="3352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18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Sheet1!$F$5:$F$20</c:f>
              <c:strCache>
                <c:ptCount val="16"/>
                <c:pt idx="0">
                  <c:v>TYR253</c:v>
                </c:pt>
                <c:pt idx="1">
                  <c:v>TYR253</c:v>
                </c:pt>
                <c:pt idx="2">
                  <c:v>ALA269</c:v>
                </c:pt>
                <c:pt idx="3">
                  <c:v>LYS271</c:v>
                </c:pt>
                <c:pt idx="4">
                  <c:v>LYS271</c:v>
                </c:pt>
                <c:pt idx="5">
                  <c:v>THR315</c:v>
                </c:pt>
                <c:pt idx="6">
                  <c:v>GLU316</c:v>
                </c:pt>
                <c:pt idx="7">
                  <c:v>GLU316</c:v>
                </c:pt>
                <c:pt idx="8">
                  <c:v>PHE317</c:v>
                </c:pt>
                <c:pt idx="9">
                  <c:v>MET318</c:v>
                </c:pt>
                <c:pt idx="10">
                  <c:v>GLY321</c:v>
                </c:pt>
                <c:pt idx="11">
                  <c:v>ASN368</c:v>
                </c:pt>
                <c:pt idx="12">
                  <c:v>LEU370</c:v>
                </c:pt>
                <c:pt idx="13">
                  <c:v>ALA380</c:v>
                </c:pt>
                <c:pt idx="14">
                  <c:v>PHE382</c:v>
                </c:pt>
                <c:pt idx="15">
                  <c:v>ASN368</c:v>
                </c:pt>
              </c:strCache>
            </c:strRef>
          </c:cat>
          <c:val>
            <c:numRef>
              <c:f>Sheet1!$H$5:$H$20</c:f>
              <c:numCache>
                <c:formatCode>General</c:formatCode>
                <c:ptCount val="16"/>
                <c:pt idx="0">
                  <c:v>-4.2168469999999996</c:v>
                </c:pt>
                <c:pt idx="1">
                  <c:v>-11.919797000000001</c:v>
                </c:pt>
                <c:pt idx="2">
                  <c:v>-2.4219870000000001</c:v>
                </c:pt>
                <c:pt idx="3">
                  <c:v>-4.3446009999999999</c:v>
                </c:pt>
                <c:pt idx="4">
                  <c:v>-9.1156009999999998</c:v>
                </c:pt>
                <c:pt idx="5">
                  <c:v>-3.0183789999999999</c:v>
                </c:pt>
                <c:pt idx="6">
                  <c:v>-5.0242380000000004</c:v>
                </c:pt>
                <c:pt idx="7">
                  <c:v>-4.5413629999999996</c:v>
                </c:pt>
                <c:pt idx="8">
                  <c:v>-6.0900379999999998</c:v>
                </c:pt>
                <c:pt idx="9">
                  <c:v>-6.8570929999999999</c:v>
                </c:pt>
                <c:pt idx="10">
                  <c:v>-2.3329309999999999</c:v>
                </c:pt>
                <c:pt idx="11">
                  <c:v>-3.5816560000000002</c:v>
                </c:pt>
                <c:pt idx="12">
                  <c:v>-4.3724569999999998</c:v>
                </c:pt>
                <c:pt idx="13">
                  <c:v>-2.5851649999999999</c:v>
                </c:pt>
                <c:pt idx="14">
                  <c:v>-6.5406649999999997</c:v>
                </c:pt>
                <c:pt idx="15">
                  <c:v>-1.4130210000000001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0D-4A93-BB8A-206C4D542A7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Sheet1!$AB$5:$AB$20</c:f>
              <c:numCache>
                <c:formatCode>General</c:formatCode>
                <c:ptCount val="16"/>
                <c:pt idx="0">
                  <c:v>-4.2168469999999996</c:v>
                </c:pt>
                <c:pt idx="1">
                  <c:v>-11.919797000000001</c:v>
                </c:pt>
                <c:pt idx="2">
                  <c:v>-2.4219870000000001</c:v>
                </c:pt>
                <c:pt idx="3">
                  <c:v>-4.3446009999999999</c:v>
                </c:pt>
                <c:pt idx="4">
                  <c:v>-9.1156009999999998</c:v>
                </c:pt>
                <c:pt idx="5">
                  <c:v>-3.0183789999999999</c:v>
                </c:pt>
                <c:pt idx="6">
                  <c:v>-5.0242380000000004</c:v>
                </c:pt>
                <c:pt idx="7">
                  <c:v>-4.5413629999999996</c:v>
                </c:pt>
                <c:pt idx="8">
                  <c:v>-6.0900379999999998</c:v>
                </c:pt>
                <c:pt idx="9">
                  <c:v>-6.8570929999999999</c:v>
                </c:pt>
                <c:pt idx="10">
                  <c:v>-2.3329309999999999</c:v>
                </c:pt>
                <c:pt idx="11">
                  <c:v>-3.5816560000000002</c:v>
                </c:pt>
                <c:pt idx="12">
                  <c:v>-4.3724569999999998</c:v>
                </c:pt>
                <c:pt idx="13">
                  <c:v>-2.5851649999999999</c:v>
                </c:pt>
                <c:pt idx="14">
                  <c:v>-6.5406649999999997</c:v>
                </c:pt>
                <c:pt idx="15">
                  <c:v>-1.4130210000000001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0D-4A93-BB8A-206C4D542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189296"/>
        <c:axId val="335247632"/>
      </c:lineChart>
      <c:catAx>
        <c:axId val="33518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247632"/>
        <c:crosses val="autoZero"/>
        <c:auto val="1"/>
        <c:lblAlgn val="ctr"/>
        <c:lblOffset val="100"/>
        <c:noMultiLvlLbl val="0"/>
      </c:catAx>
      <c:valAx>
        <c:axId val="3352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18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Sheet1!$F$24:$F$39</c:f>
              <c:strCache>
                <c:ptCount val="16"/>
                <c:pt idx="0">
                  <c:v>TYR253</c:v>
                </c:pt>
                <c:pt idx="1">
                  <c:v>TYR253</c:v>
                </c:pt>
                <c:pt idx="2">
                  <c:v>ALA269</c:v>
                </c:pt>
                <c:pt idx="3">
                  <c:v>LYS271</c:v>
                </c:pt>
                <c:pt idx="4">
                  <c:v>LYS271</c:v>
                </c:pt>
                <c:pt idx="5">
                  <c:v>THR315</c:v>
                </c:pt>
                <c:pt idx="6">
                  <c:v>GLU316</c:v>
                </c:pt>
                <c:pt idx="7">
                  <c:v>GLU316</c:v>
                </c:pt>
                <c:pt idx="8">
                  <c:v>PHE317</c:v>
                </c:pt>
                <c:pt idx="9">
                  <c:v>MET318</c:v>
                </c:pt>
                <c:pt idx="10">
                  <c:v>GLY321</c:v>
                </c:pt>
                <c:pt idx="11">
                  <c:v>ASN368</c:v>
                </c:pt>
                <c:pt idx="12">
                  <c:v>LEU370</c:v>
                </c:pt>
                <c:pt idx="13">
                  <c:v>ALA380</c:v>
                </c:pt>
                <c:pt idx="14">
                  <c:v>PHE382</c:v>
                </c:pt>
                <c:pt idx="15">
                  <c:v>ASN368</c:v>
                </c:pt>
              </c:strCache>
            </c:strRef>
          </c:cat>
          <c:val>
            <c:numRef>
              <c:f>Sheet1!$H$24:$H$39</c:f>
              <c:numCache>
                <c:formatCode>General</c:formatCode>
                <c:ptCount val="16"/>
                <c:pt idx="0">
                  <c:v>-3.7181769999999998</c:v>
                </c:pt>
                <c:pt idx="1">
                  <c:v>-11.938196</c:v>
                </c:pt>
                <c:pt idx="2">
                  <c:v>-2.053169</c:v>
                </c:pt>
                <c:pt idx="3">
                  <c:v>-5.0249980000000001</c:v>
                </c:pt>
                <c:pt idx="4">
                  <c:v>-10.312688</c:v>
                </c:pt>
                <c:pt idx="5">
                  <c:v>1.3586450000000001</c:v>
                </c:pt>
                <c:pt idx="6">
                  <c:v>2.156542</c:v>
                </c:pt>
                <c:pt idx="7">
                  <c:v>3.7155339999999999</c:v>
                </c:pt>
                <c:pt idx="8">
                  <c:v>-5.3490000000000002</c:v>
                </c:pt>
                <c:pt idx="9">
                  <c:v>-10.891303000000001</c:v>
                </c:pt>
                <c:pt idx="10">
                  <c:v>-2.7100710000000001</c:v>
                </c:pt>
                <c:pt idx="11">
                  <c:v>-3.4862880000000001</c:v>
                </c:pt>
                <c:pt idx="12">
                  <c:v>-3.6668159999999999</c:v>
                </c:pt>
                <c:pt idx="13">
                  <c:v>-2.3797060000000001</c:v>
                </c:pt>
                <c:pt idx="14">
                  <c:v>-6.7600680000000004</c:v>
                </c:pt>
                <c:pt idx="15">
                  <c:v>-1.583653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93-4E45-9FED-87C84669F5A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Sheet1!$F$24:$F$39</c:f>
              <c:strCache>
                <c:ptCount val="16"/>
                <c:pt idx="0">
                  <c:v>TYR253</c:v>
                </c:pt>
                <c:pt idx="1">
                  <c:v>TYR253</c:v>
                </c:pt>
                <c:pt idx="2">
                  <c:v>ALA269</c:v>
                </c:pt>
                <c:pt idx="3">
                  <c:v>LYS271</c:v>
                </c:pt>
                <c:pt idx="4">
                  <c:v>LYS271</c:v>
                </c:pt>
                <c:pt idx="5">
                  <c:v>THR315</c:v>
                </c:pt>
                <c:pt idx="6">
                  <c:v>GLU316</c:v>
                </c:pt>
                <c:pt idx="7">
                  <c:v>GLU316</c:v>
                </c:pt>
                <c:pt idx="8">
                  <c:v>PHE317</c:v>
                </c:pt>
                <c:pt idx="9">
                  <c:v>MET318</c:v>
                </c:pt>
                <c:pt idx="10">
                  <c:v>GLY321</c:v>
                </c:pt>
                <c:pt idx="11">
                  <c:v>ASN368</c:v>
                </c:pt>
                <c:pt idx="12">
                  <c:v>LEU370</c:v>
                </c:pt>
                <c:pt idx="13">
                  <c:v>ALA380</c:v>
                </c:pt>
                <c:pt idx="14">
                  <c:v>PHE382</c:v>
                </c:pt>
                <c:pt idx="15">
                  <c:v>ASN368</c:v>
                </c:pt>
              </c:strCache>
            </c:strRef>
          </c:cat>
          <c:val>
            <c:numRef>
              <c:f>Sheet1!$AB$24:$AB$39</c:f>
              <c:numCache>
                <c:formatCode>General</c:formatCode>
                <c:ptCount val="16"/>
                <c:pt idx="0">
                  <c:v>-3.7181769999999998</c:v>
                </c:pt>
                <c:pt idx="1">
                  <c:v>-11.938196</c:v>
                </c:pt>
                <c:pt idx="2">
                  <c:v>-2.053169</c:v>
                </c:pt>
                <c:pt idx="3">
                  <c:v>-5.0249980000000001</c:v>
                </c:pt>
                <c:pt idx="4">
                  <c:v>-10.312688</c:v>
                </c:pt>
                <c:pt idx="5">
                  <c:v>1.3586450000000001</c:v>
                </c:pt>
                <c:pt idx="6">
                  <c:v>2.156542</c:v>
                </c:pt>
                <c:pt idx="7">
                  <c:v>3.7155339999999999</c:v>
                </c:pt>
                <c:pt idx="8">
                  <c:v>-5.3490000000000002</c:v>
                </c:pt>
                <c:pt idx="9">
                  <c:v>-10.891303000000001</c:v>
                </c:pt>
                <c:pt idx="10">
                  <c:v>-2.7100710000000001</c:v>
                </c:pt>
                <c:pt idx="11">
                  <c:v>-3.4862880000000001</c:v>
                </c:pt>
                <c:pt idx="12">
                  <c:v>-3.6668159999999999</c:v>
                </c:pt>
                <c:pt idx="13">
                  <c:v>-2.3797060000000001</c:v>
                </c:pt>
                <c:pt idx="14">
                  <c:v>-6.7600680000000004</c:v>
                </c:pt>
                <c:pt idx="15">
                  <c:v>-1.583653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93-4E45-9FED-87C84669F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189296"/>
        <c:axId val="335247632"/>
      </c:lineChart>
      <c:catAx>
        <c:axId val="33518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247632"/>
        <c:crosses val="autoZero"/>
        <c:auto val="1"/>
        <c:lblAlgn val="ctr"/>
        <c:lblOffset val="100"/>
        <c:noMultiLvlLbl val="0"/>
      </c:catAx>
      <c:valAx>
        <c:axId val="3352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18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Sheet1!$F$5:$F$20</c:f>
              <c:strCache>
                <c:ptCount val="16"/>
                <c:pt idx="0">
                  <c:v>TYR253</c:v>
                </c:pt>
                <c:pt idx="1">
                  <c:v>TYR253</c:v>
                </c:pt>
                <c:pt idx="2">
                  <c:v>ALA269</c:v>
                </c:pt>
                <c:pt idx="3">
                  <c:v>LYS271</c:v>
                </c:pt>
                <c:pt idx="4">
                  <c:v>LYS271</c:v>
                </c:pt>
                <c:pt idx="5">
                  <c:v>THR315</c:v>
                </c:pt>
                <c:pt idx="6">
                  <c:v>GLU316</c:v>
                </c:pt>
                <c:pt idx="7">
                  <c:v>GLU316</c:v>
                </c:pt>
                <c:pt idx="8">
                  <c:v>PHE317</c:v>
                </c:pt>
                <c:pt idx="9">
                  <c:v>MET318</c:v>
                </c:pt>
                <c:pt idx="10">
                  <c:v>GLY321</c:v>
                </c:pt>
                <c:pt idx="11">
                  <c:v>ASN368</c:v>
                </c:pt>
                <c:pt idx="12">
                  <c:v>LEU370</c:v>
                </c:pt>
                <c:pt idx="13">
                  <c:v>ALA380</c:v>
                </c:pt>
                <c:pt idx="14">
                  <c:v>PHE382</c:v>
                </c:pt>
                <c:pt idx="15">
                  <c:v>ASN368</c:v>
                </c:pt>
              </c:strCache>
            </c:strRef>
          </c:cat>
          <c:val>
            <c:numRef>
              <c:f>Sheet1!$AK$5:$AK$20</c:f>
              <c:numCache>
                <c:formatCode>General</c:formatCode>
                <c:ptCount val="16"/>
                <c:pt idx="0">
                  <c:v>-3.7266110000000001</c:v>
                </c:pt>
                <c:pt idx="1">
                  <c:v>-11.463321000000001</c:v>
                </c:pt>
                <c:pt idx="2">
                  <c:v>-1.992375</c:v>
                </c:pt>
                <c:pt idx="3">
                  <c:v>-3.847162</c:v>
                </c:pt>
                <c:pt idx="4">
                  <c:v>-8.5649490000000004</c:v>
                </c:pt>
                <c:pt idx="5">
                  <c:v>-2.4220000000000002</c:v>
                </c:pt>
                <c:pt idx="6">
                  <c:v>-4.1681520000000001</c:v>
                </c:pt>
                <c:pt idx="7">
                  <c:v>-3.6318760000000001</c:v>
                </c:pt>
                <c:pt idx="8">
                  <c:v>-5.8596979999999999</c:v>
                </c:pt>
                <c:pt idx="9">
                  <c:v>-6.930167</c:v>
                </c:pt>
                <c:pt idx="10">
                  <c:v>-1.772559</c:v>
                </c:pt>
                <c:pt idx="11">
                  <c:v>-3.0642309999999999</c:v>
                </c:pt>
                <c:pt idx="12">
                  <c:v>-3.8923869999999998</c:v>
                </c:pt>
                <c:pt idx="13">
                  <c:v>-2.0859679999999998</c:v>
                </c:pt>
                <c:pt idx="14">
                  <c:v>-6.0430060000000001</c:v>
                </c:pt>
                <c:pt idx="15">
                  <c:v>-0.92885300000000004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51-4D03-9358-3D2FD66676D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Sheet1!$AT$5:$AT$20</c:f>
              <c:numCache>
                <c:formatCode>General</c:formatCode>
                <c:ptCount val="16"/>
                <c:pt idx="0">
                  <c:v>-3.7266110000000001</c:v>
                </c:pt>
                <c:pt idx="1">
                  <c:v>-11.463321000000001</c:v>
                </c:pt>
                <c:pt idx="2">
                  <c:v>-1.992375</c:v>
                </c:pt>
                <c:pt idx="3">
                  <c:v>-3.847162</c:v>
                </c:pt>
                <c:pt idx="4">
                  <c:v>-8.5649490000000004</c:v>
                </c:pt>
                <c:pt idx="5">
                  <c:v>-2.4220630000000001</c:v>
                </c:pt>
                <c:pt idx="6">
                  <c:v>-4.1681520000000001</c:v>
                </c:pt>
                <c:pt idx="7">
                  <c:v>-3.6318760000000001</c:v>
                </c:pt>
                <c:pt idx="8">
                  <c:v>-5.8596979999999999</c:v>
                </c:pt>
                <c:pt idx="9">
                  <c:v>-6.930167</c:v>
                </c:pt>
                <c:pt idx="10">
                  <c:v>-1.772559</c:v>
                </c:pt>
                <c:pt idx="11">
                  <c:v>-3.0642309999999999</c:v>
                </c:pt>
                <c:pt idx="12">
                  <c:v>-3.8923239999999999</c:v>
                </c:pt>
                <c:pt idx="13">
                  <c:v>-2.0859679999999998</c:v>
                </c:pt>
                <c:pt idx="14">
                  <c:v>-6.0430060000000001</c:v>
                </c:pt>
                <c:pt idx="15">
                  <c:v>-0.92885300000000004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51-4D03-9358-3D2FD6667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189296"/>
        <c:axId val="335247632"/>
      </c:lineChart>
      <c:catAx>
        <c:axId val="33518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247632"/>
        <c:crosses val="autoZero"/>
        <c:auto val="1"/>
        <c:lblAlgn val="ctr"/>
        <c:lblOffset val="100"/>
        <c:noMultiLvlLbl val="0"/>
      </c:catAx>
      <c:valAx>
        <c:axId val="3352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18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Sheet1!$F$24:$F$39</c:f>
              <c:strCache>
                <c:ptCount val="16"/>
                <c:pt idx="0">
                  <c:v>TYR253</c:v>
                </c:pt>
                <c:pt idx="1">
                  <c:v>TYR253</c:v>
                </c:pt>
                <c:pt idx="2">
                  <c:v>ALA269</c:v>
                </c:pt>
                <c:pt idx="3">
                  <c:v>LYS271</c:v>
                </c:pt>
                <c:pt idx="4">
                  <c:v>LYS271</c:v>
                </c:pt>
                <c:pt idx="5">
                  <c:v>THR315</c:v>
                </c:pt>
                <c:pt idx="6">
                  <c:v>GLU316</c:v>
                </c:pt>
                <c:pt idx="7">
                  <c:v>GLU316</c:v>
                </c:pt>
                <c:pt idx="8">
                  <c:v>PHE317</c:v>
                </c:pt>
                <c:pt idx="9">
                  <c:v>MET318</c:v>
                </c:pt>
                <c:pt idx="10">
                  <c:v>GLY321</c:v>
                </c:pt>
                <c:pt idx="11">
                  <c:v>ASN368</c:v>
                </c:pt>
                <c:pt idx="12">
                  <c:v>LEU370</c:v>
                </c:pt>
                <c:pt idx="13">
                  <c:v>ALA380</c:v>
                </c:pt>
                <c:pt idx="14">
                  <c:v>PHE382</c:v>
                </c:pt>
                <c:pt idx="15">
                  <c:v>ASN368</c:v>
                </c:pt>
              </c:strCache>
            </c:strRef>
          </c:cat>
          <c:val>
            <c:numRef>
              <c:f>Sheet1!$AK$24:$AK$39</c:f>
              <c:numCache>
                <c:formatCode>General</c:formatCode>
                <c:ptCount val="16"/>
                <c:pt idx="0">
                  <c:v>-2.9110239999999998</c:v>
                </c:pt>
                <c:pt idx="1">
                  <c:v>-12.039488</c:v>
                </c:pt>
                <c:pt idx="2">
                  <c:v>-1.6507590000000001</c:v>
                </c:pt>
                <c:pt idx="3">
                  <c:v>-4.5592350000000001</c:v>
                </c:pt>
                <c:pt idx="4">
                  <c:v>-9.7469629999999992</c:v>
                </c:pt>
                <c:pt idx="5">
                  <c:v>1.874088</c:v>
                </c:pt>
                <c:pt idx="6">
                  <c:v>3.251045</c:v>
                </c:pt>
                <c:pt idx="7">
                  <c:v>4.8464309999999999</c:v>
                </c:pt>
                <c:pt idx="8">
                  <c:v>-5.0946389999999999</c:v>
                </c:pt>
                <c:pt idx="9">
                  <c:v>-11.791923000000001</c:v>
                </c:pt>
                <c:pt idx="10">
                  <c:v>-1.928884</c:v>
                </c:pt>
                <c:pt idx="11">
                  <c:v>-2.9317380000000002</c:v>
                </c:pt>
                <c:pt idx="12">
                  <c:v>-3.137982</c:v>
                </c:pt>
                <c:pt idx="13">
                  <c:v>-1.853966</c:v>
                </c:pt>
                <c:pt idx="14">
                  <c:v>-6.268383</c:v>
                </c:pt>
                <c:pt idx="15">
                  <c:v>-1.080309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41-440C-9BF8-098A402EBDF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Sheet1!$F$24:$F$39</c:f>
              <c:strCache>
                <c:ptCount val="16"/>
                <c:pt idx="0">
                  <c:v>TYR253</c:v>
                </c:pt>
                <c:pt idx="1">
                  <c:v>TYR253</c:v>
                </c:pt>
                <c:pt idx="2">
                  <c:v>ALA269</c:v>
                </c:pt>
                <c:pt idx="3">
                  <c:v>LYS271</c:v>
                </c:pt>
                <c:pt idx="4">
                  <c:v>LYS271</c:v>
                </c:pt>
                <c:pt idx="5">
                  <c:v>THR315</c:v>
                </c:pt>
                <c:pt idx="6">
                  <c:v>GLU316</c:v>
                </c:pt>
                <c:pt idx="7">
                  <c:v>GLU316</c:v>
                </c:pt>
                <c:pt idx="8">
                  <c:v>PHE317</c:v>
                </c:pt>
                <c:pt idx="9">
                  <c:v>MET318</c:v>
                </c:pt>
                <c:pt idx="10">
                  <c:v>GLY321</c:v>
                </c:pt>
                <c:pt idx="11">
                  <c:v>ASN368</c:v>
                </c:pt>
                <c:pt idx="12">
                  <c:v>LEU370</c:v>
                </c:pt>
                <c:pt idx="13">
                  <c:v>ALA380</c:v>
                </c:pt>
                <c:pt idx="14">
                  <c:v>PHE382</c:v>
                </c:pt>
                <c:pt idx="15">
                  <c:v>ASN368</c:v>
                </c:pt>
              </c:strCache>
            </c:strRef>
          </c:cat>
          <c:val>
            <c:numRef>
              <c:f>Sheet1!$AT$24:$AT$39</c:f>
              <c:numCache>
                <c:formatCode>General</c:formatCode>
                <c:ptCount val="16"/>
                <c:pt idx="0">
                  <c:v>-2.9110239999999998</c:v>
                </c:pt>
                <c:pt idx="1">
                  <c:v>-12.039488</c:v>
                </c:pt>
                <c:pt idx="2">
                  <c:v>-1.6507590000000001</c:v>
                </c:pt>
                <c:pt idx="3">
                  <c:v>-4.5592350000000001</c:v>
                </c:pt>
                <c:pt idx="4">
                  <c:v>-9.7469629999999992</c:v>
                </c:pt>
                <c:pt idx="5">
                  <c:v>1.874088</c:v>
                </c:pt>
                <c:pt idx="6">
                  <c:v>3.251045</c:v>
                </c:pt>
                <c:pt idx="7">
                  <c:v>4.8464309999999999</c:v>
                </c:pt>
                <c:pt idx="8">
                  <c:v>-5.0946389999999999</c:v>
                </c:pt>
                <c:pt idx="9">
                  <c:v>-11.791923000000001</c:v>
                </c:pt>
                <c:pt idx="10">
                  <c:v>-1.928884</c:v>
                </c:pt>
                <c:pt idx="11">
                  <c:v>-2.9317380000000002</c:v>
                </c:pt>
                <c:pt idx="12">
                  <c:v>-3.137982</c:v>
                </c:pt>
                <c:pt idx="13">
                  <c:v>-1.853966</c:v>
                </c:pt>
                <c:pt idx="14">
                  <c:v>-6.268383</c:v>
                </c:pt>
                <c:pt idx="15">
                  <c:v>-1.080309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41-440C-9BF8-098A402EB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189296"/>
        <c:axId val="335247632"/>
      </c:lineChart>
      <c:catAx>
        <c:axId val="33518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247632"/>
        <c:crosses val="autoZero"/>
        <c:auto val="1"/>
        <c:lblAlgn val="ctr"/>
        <c:lblOffset val="100"/>
        <c:noMultiLvlLbl val="0"/>
      </c:catAx>
      <c:valAx>
        <c:axId val="3352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18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Sheet1!$CL$5:$CL$17</c:f>
              <c:strCache>
                <c:ptCount val="13"/>
                <c:pt idx="0">
                  <c:v>TYR253</c:v>
                </c:pt>
                <c:pt idx="1">
                  <c:v>ALA269</c:v>
                </c:pt>
                <c:pt idx="2">
                  <c:v>LYS271</c:v>
                </c:pt>
                <c:pt idx="3">
                  <c:v>THR315</c:v>
                </c:pt>
                <c:pt idx="4">
                  <c:v>GLU316</c:v>
                </c:pt>
                <c:pt idx="5">
                  <c:v>PHE317</c:v>
                </c:pt>
                <c:pt idx="6">
                  <c:v>MET318</c:v>
                </c:pt>
                <c:pt idx="7">
                  <c:v>GLY321</c:v>
                </c:pt>
                <c:pt idx="8">
                  <c:v>ASN368</c:v>
                </c:pt>
                <c:pt idx="9">
                  <c:v>LEU370</c:v>
                </c:pt>
                <c:pt idx="10">
                  <c:v>ALA380</c:v>
                </c:pt>
                <c:pt idx="11">
                  <c:v>PHE382</c:v>
                </c:pt>
                <c:pt idx="12">
                  <c:v>ASN368</c:v>
                </c:pt>
              </c:strCache>
            </c:strRef>
          </c:cat>
          <c:val>
            <c:numRef>
              <c:f>Sheet1!$CN$5:$CN$17</c:f>
              <c:numCache>
                <c:formatCode>General</c:formatCode>
                <c:ptCount val="13"/>
                <c:pt idx="0">
                  <c:v>-3.7676940000000001</c:v>
                </c:pt>
                <c:pt idx="1">
                  <c:v>-2.0125440000000001</c:v>
                </c:pt>
                <c:pt idx="2">
                  <c:v>-10.296492000000001</c:v>
                </c:pt>
                <c:pt idx="3">
                  <c:v>1.429478</c:v>
                </c:pt>
                <c:pt idx="4">
                  <c:v>3.7259690000000001</c:v>
                </c:pt>
                <c:pt idx="5">
                  <c:v>-5.3632249999999999</c:v>
                </c:pt>
                <c:pt idx="6">
                  <c:v>-10.90817</c:v>
                </c:pt>
                <c:pt idx="7">
                  <c:v>-2.7219120000000001</c:v>
                </c:pt>
                <c:pt idx="8">
                  <c:v>-3.4677319999999998</c:v>
                </c:pt>
                <c:pt idx="9">
                  <c:v>-3.6402030000000001</c:v>
                </c:pt>
                <c:pt idx="10">
                  <c:v>-2.3852220000000002</c:v>
                </c:pt>
                <c:pt idx="11">
                  <c:v>-6.7506430000000002</c:v>
                </c:pt>
                <c:pt idx="12">
                  <c:v>-1.5656939999999999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C2-48AF-BFD9-D46B55935B0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Sheet1!$CL$5:$CL$17</c:f>
              <c:strCache>
                <c:ptCount val="13"/>
                <c:pt idx="0">
                  <c:v>TYR253</c:v>
                </c:pt>
                <c:pt idx="1">
                  <c:v>ALA269</c:v>
                </c:pt>
                <c:pt idx="2">
                  <c:v>LYS271</c:v>
                </c:pt>
                <c:pt idx="3">
                  <c:v>THR315</c:v>
                </c:pt>
                <c:pt idx="4">
                  <c:v>GLU316</c:v>
                </c:pt>
                <c:pt idx="5">
                  <c:v>PHE317</c:v>
                </c:pt>
                <c:pt idx="6">
                  <c:v>MET318</c:v>
                </c:pt>
                <c:pt idx="7">
                  <c:v>GLY321</c:v>
                </c:pt>
                <c:pt idx="8">
                  <c:v>ASN368</c:v>
                </c:pt>
                <c:pt idx="9">
                  <c:v>LEU370</c:v>
                </c:pt>
                <c:pt idx="10">
                  <c:v>ALA380</c:v>
                </c:pt>
                <c:pt idx="11">
                  <c:v>PHE382</c:v>
                </c:pt>
                <c:pt idx="12">
                  <c:v>ASN368</c:v>
                </c:pt>
              </c:strCache>
            </c:strRef>
          </c:cat>
          <c:val>
            <c:numRef>
              <c:f>Sheet1!$BC$24:$BC$36</c:f>
              <c:numCache>
                <c:formatCode>General</c:formatCode>
                <c:ptCount val="13"/>
                <c:pt idx="0">
                  <c:v>-3.7181769999999998</c:v>
                </c:pt>
                <c:pt idx="1">
                  <c:v>-2.053169</c:v>
                </c:pt>
                <c:pt idx="2">
                  <c:v>-10.312688</c:v>
                </c:pt>
                <c:pt idx="3">
                  <c:v>1.3586450000000001</c:v>
                </c:pt>
                <c:pt idx="4">
                  <c:v>3.7155339999999999</c:v>
                </c:pt>
                <c:pt idx="5">
                  <c:v>-5.3490000000000002</c:v>
                </c:pt>
                <c:pt idx="6">
                  <c:v>-10.891303000000001</c:v>
                </c:pt>
                <c:pt idx="7">
                  <c:v>-2.7100710000000001</c:v>
                </c:pt>
                <c:pt idx="8">
                  <c:v>-3.4862880000000001</c:v>
                </c:pt>
                <c:pt idx="9">
                  <c:v>-3.6668159999999999</c:v>
                </c:pt>
                <c:pt idx="10">
                  <c:v>-2.3797060000000001</c:v>
                </c:pt>
                <c:pt idx="11">
                  <c:v>-6.7600680000000004</c:v>
                </c:pt>
                <c:pt idx="12">
                  <c:v>-1.583653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C2-48AF-BFD9-D46B55935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189296"/>
        <c:axId val="335247632"/>
      </c:lineChart>
      <c:catAx>
        <c:axId val="33518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247632"/>
        <c:crosses val="autoZero"/>
        <c:auto val="1"/>
        <c:lblAlgn val="ctr"/>
        <c:lblOffset val="100"/>
        <c:noMultiLvlLbl val="0"/>
      </c:catAx>
      <c:valAx>
        <c:axId val="3352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18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Sheet1!$BA$5:$BA$17</c:f>
              <c:strCache>
                <c:ptCount val="13"/>
                <c:pt idx="0">
                  <c:v>TYR253</c:v>
                </c:pt>
                <c:pt idx="1">
                  <c:v>ALA269</c:v>
                </c:pt>
                <c:pt idx="2">
                  <c:v>LYS271</c:v>
                </c:pt>
                <c:pt idx="3">
                  <c:v>THR315</c:v>
                </c:pt>
                <c:pt idx="4">
                  <c:v>GLU316</c:v>
                </c:pt>
                <c:pt idx="5">
                  <c:v>PHE317</c:v>
                </c:pt>
                <c:pt idx="6">
                  <c:v>MET318</c:v>
                </c:pt>
                <c:pt idx="7">
                  <c:v>GLY321</c:v>
                </c:pt>
                <c:pt idx="8">
                  <c:v>ASN368</c:v>
                </c:pt>
                <c:pt idx="9">
                  <c:v>LEU370</c:v>
                </c:pt>
                <c:pt idx="10">
                  <c:v>ALA380</c:v>
                </c:pt>
                <c:pt idx="11">
                  <c:v>PHE382</c:v>
                </c:pt>
                <c:pt idx="12">
                  <c:v>ASN368</c:v>
                </c:pt>
              </c:strCache>
            </c:strRef>
          </c:cat>
          <c:val>
            <c:numRef>
              <c:f>Sheet1!$BC$5:$BC$17</c:f>
              <c:numCache>
                <c:formatCode>General</c:formatCode>
                <c:ptCount val="13"/>
                <c:pt idx="0">
                  <c:v>-4.2168469999999996</c:v>
                </c:pt>
                <c:pt idx="1">
                  <c:v>-2.4219870000000001</c:v>
                </c:pt>
                <c:pt idx="2">
                  <c:v>-9.1156009999999998</c:v>
                </c:pt>
                <c:pt idx="3">
                  <c:v>-3.0183789999999999</c:v>
                </c:pt>
                <c:pt idx="4">
                  <c:v>-4.5413629999999996</c:v>
                </c:pt>
                <c:pt idx="5">
                  <c:v>-6.0900379999999998</c:v>
                </c:pt>
                <c:pt idx="6">
                  <c:v>-6.8570929999999999</c:v>
                </c:pt>
                <c:pt idx="7">
                  <c:v>-2.3329309999999999</c:v>
                </c:pt>
                <c:pt idx="8">
                  <c:v>-3.5816560000000002</c:v>
                </c:pt>
                <c:pt idx="9">
                  <c:v>-4.3724569999999998</c:v>
                </c:pt>
                <c:pt idx="10">
                  <c:v>-2.5851649999999999</c:v>
                </c:pt>
                <c:pt idx="11">
                  <c:v>-6.5406649999999997</c:v>
                </c:pt>
                <c:pt idx="12">
                  <c:v>-1.4130210000000001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4-4266-8122-BF7AA9B1CBF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Sheet1!$BA$5:$BA$17</c:f>
              <c:strCache>
                <c:ptCount val="13"/>
                <c:pt idx="0">
                  <c:v>TYR253</c:v>
                </c:pt>
                <c:pt idx="1">
                  <c:v>ALA269</c:v>
                </c:pt>
                <c:pt idx="2">
                  <c:v>LYS271</c:v>
                </c:pt>
                <c:pt idx="3">
                  <c:v>THR315</c:v>
                </c:pt>
                <c:pt idx="4">
                  <c:v>GLU316</c:v>
                </c:pt>
                <c:pt idx="5">
                  <c:v>PHE317</c:v>
                </c:pt>
                <c:pt idx="6">
                  <c:v>MET318</c:v>
                </c:pt>
                <c:pt idx="7">
                  <c:v>GLY321</c:v>
                </c:pt>
                <c:pt idx="8">
                  <c:v>ASN368</c:v>
                </c:pt>
                <c:pt idx="9">
                  <c:v>LEU370</c:v>
                </c:pt>
                <c:pt idx="10">
                  <c:v>ALA380</c:v>
                </c:pt>
                <c:pt idx="11">
                  <c:v>PHE382</c:v>
                </c:pt>
                <c:pt idx="12">
                  <c:v>ASN368</c:v>
                </c:pt>
              </c:strCache>
            </c:strRef>
          </c:cat>
          <c:val>
            <c:numRef>
              <c:f>Sheet1!$CW$5:$CW$17</c:f>
              <c:numCache>
                <c:formatCode>General</c:formatCode>
                <c:ptCount val="13"/>
                <c:pt idx="0">
                  <c:v>-4.227665</c:v>
                </c:pt>
                <c:pt idx="1">
                  <c:v>-2.4145699999999999</c:v>
                </c:pt>
                <c:pt idx="2">
                  <c:v>-9.1092130000000004</c:v>
                </c:pt>
                <c:pt idx="3">
                  <c:v>-3.0004439999999999</c:v>
                </c:pt>
                <c:pt idx="4">
                  <c:v>-4.527018</c:v>
                </c:pt>
                <c:pt idx="5">
                  <c:v>-6.0968280000000004</c:v>
                </c:pt>
                <c:pt idx="6">
                  <c:v>-6.8483020000000003</c:v>
                </c:pt>
                <c:pt idx="7">
                  <c:v>-2.334876</c:v>
                </c:pt>
                <c:pt idx="8">
                  <c:v>-3.55911</c:v>
                </c:pt>
                <c:pt idx="9">
                  <c:v>-4.3413259999999996</c:v>
                </c:pt>
                <c:pt idx="10">
                  <c:v>-2.5998359999999998</c:v>
                </c:pt>
                <c:pt idx="11">
                  <c:v>-6.5179369999999999</c:v>
                </c:pt>
                <c:pt idx="12">
                  <c:v>-1.3853599999999999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F4-4266-8122-BF7AA9B1C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189296"/>
        <c:axId val="335247632"/>
      </c:lineChart>
      <c:catAx>
        <c:axId val="33518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247632"/>
        <c:crosses val="autoZero"/>
        <c:auto val="1"/>
        <c:lblAlgn val="ctr"/>
        <c:lblOffset val="100"/>
        <c:noMultiLvlLbl val="0"/>
      </c:catAx>
      <c:valAx>
        <c:axId val="3352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18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Sheet1!$CL$5:$CL$17</c:f>
              <c:strCache>
                <c:ptCount val="13"/>
                <c:pt idx="0">
                  <c:v>TYR253</c:v>
                </c:pt>
                <c:pt idx="1">
                  <c:v>ALA269</c:v>
                </c:pt>
                <c:pt idx="2">
                  <c:v>LYS271</c:v>
                </c:pt>
                <c:pt idx="3">
                  <c:v>THR315</c:v>
                </c:pt>
                <c:pt idx="4">
                  <c:v>GLU316</c:v>
                </c:pt>
                <c:pt idx="5">
                  <c:v>PHE317</c:v>
                </c:pt>
                <c:pt idx="6">
                  <c:v>MET318</c:v>
                </c:pt>
                <c:pt idx="7">
                  <c:v>GLY321</c:v>
                </c:pt>
                <c:pt idx="8">
                  <c:v>ASN368</c:v>
                </c:pt>
                <c:pt idx="9">
                  <c:v>LEU370</c:v>
                </c:pt>
                <c:pt idx="10">
                  <c:v>ALA380</c:v>
                </c:pt>
                <c:pt idx="11">
                  <c:v>PHE382</c:v>
                </c:pt>
                <c:pt idx="12">
                  <c:v>ASN368</c:v>
                </c:pt>
              </c:strCache>
            </c:strRef>
          </c:cat>
          <c:val>
            <c:numRef>
              <c:f>Sheet1!$CN$5:$CN$17</c:f>
              <c:numCache>
                <c:formatCode>General</c:formatCode>
                <c:ptCount val="13"/>
                <c:pt idx="0">
                  <c:v>-3.7676940000000001</c:v>
                </c:pt>
                <c:pt idx="1">
                  <c:v>-2.0125440000000001</c:v>
                </c:pt>
                <c:pt idx="2">
                  <c:v>-10.296492000000001</c:v>
                </c:pt>
                <c:pt idx="3">
                  <c:v>1.429478</c:v>
                </c:pt>
                <c:pt idx="4">
                  <c:v>3.7259690000000001</c:v>
                </c:pt>
                <c:pt idx="5">
                  <c:v>-5.3632249999999999</c:v>
                </c:pt>
                <c:pt idx="6">
                  <c:v>-10.90817</c:v>
                </c:pt>
                <c:pt idx="7">
                  <c:v>-2.7219120000000001</c:v>
                </c:pt>
                <c:pt idx="8">
                  <c:v>-3.4677319999999998</c:v>
                </c:pt>
                <c:pt idx="9">
                  <c:v>-3.6402030000000001</c:v>
                </c:pt>
                <c:pt idx="10">
                  <c:v>-2.3852220000000002</c:v>
                </c:pt>
                <c:pt idx="11">
                  <c:v>-6.7506430000000002</c:v>
                </c:pt>
                <c:pt idx="12">
                  <c:v>-1.5656939999999999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84-4D7B-B2FD-0F8F15CE8F9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Sheet1!$CL$5:$CL$17</c:f>
              <c:strCache>
                <c:ptCount val="13"/>
                <c:pt idx="0">
                  <c:v>TYR253</c:v>
                </c:pt>
                <c:pt idx="1">
                  <c:v>ALA269</c:v>
                </c:pt>
                <c:pt idx="2">
                  <c:v>LYS271</c:v>
                </c:pt>
                <c:pt idx="3">
                  <c:v>THR315</c:v>
                </c:pt>
                <c:pt idx="4">
                  <c:v>GLU316</c:v>
                </c:pt>
                <c:pt idx="5">
                  <c:v>PHE317</c:v>
                </c:pt>
                <c:pt idx="6">
                  <c:v>MET318</c:v>
                </c:pt>
                <c:pt idx="7">
                  <c:v>GLY321</c:v>
                </c:pt>
                <c:pt idx="8">
                  <c:v>ASN368</c:v>
                </c:pt>
                <c:pt idx="9">
                  <c:v>LEU370</c:v>
                </c:pt>
                <c:pt idx="10">
                  <c:v>ALA380</c:v>
                </c:pt>
                <c:pt idx="11">
                  <c:v>PHE382</c:v>
                </c:pt>
                <c:pt idx="12">
                  <c:v>ASN368</c:v>
                </c:pt>
              </c:strCache>
            </c:strRef>
          </c:cat>
          <c:val>
            <c:numRef>
              <c:f>Sheet1!$DF$5:$DF$17</c:f>
              <c:numCache>
                <c:formatCode>General</c:formatCode>
                <c:ptCount val="13"/>
                <c:pt idx="0">
                  <c:v>-3.7238120000000001</c:v>
                </c:pt>
                <c:pt idx="1">
                  <c:v>-2.022678</c:v>
                </c:pt>
                <c:pt idx="2">
                  <c:v>-10.267953</c:v>
                </c:pt>
                <c:pt idx="3">
                  <c:v>-0.14608499999999999</c:v>
                </c:pt>
                <c:pt idx="4">
                  <c:v>3.704383</c:v>
                </c:pt>
                <c:pt idx="5">
                  <c:v>-5.326943</c:v>
                </c:pt>
                <c:pt idx="6">
                  <c:v>-10.898688</c:v>
                </c:pt>
                <c:pt idx="7">
                  <c:v>-2.7132580000000002</c:v>
                </c:pt>
                <c:pt idx="8">
                  <c:v>-3.4790899999999998</c:v>
                </c:pt>
                <c:pt idx="9">
                  <c:v>-3.6683469999999998</c:v>
                </c:pt>
                <c:pt idx="10">
                  <c:v>-2.41452</c:v>
                </c:pt>
                <c:pt idx="11">
                  <c:v>-6.742686</c:v>
                </c:pt>
                <c:pt idx="12">
                  <c:v>-1.575734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84-4D7B-B2FD-0F8F15CE8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189296"/>
        <c:axId val="335247632"/>
      </c:lineChart>
      <c:catAx>
        <c:axId val="33518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247632"/>
        <c:crosses val="autoZero"/>
        <c:auto val="1"/>
        <c:lblAlgn val="ctr"/>
        <c:lblOffset val="100"/>
        <c:noMultiLvlLbl val="0"/>
      </c:catAx>
      <c:valAx>
        <c:axId val="3352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18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Sheet1!$F$5:$F$20</c:f>
              <c:strCache>
                <c:ptCount val="16"/>
                <c:pt idx="0">
                  <c:v>TYR253</c:v>
                </c:pt>
                <c:pt idx="1">
                  <c:v>TYR253</c:v>
                </c:pt>
                <c:pt idx="2">
                  <c:v>ALA269</c:v>
                </c:pt>
                <c:pt idx="3">
                  <c:v>LYS271</c:v>
                </c:pt>
                <c:pt idx="4">
                  <c:v>LYS271</c:v>
                </c:pt>
                <c:pt idx="5">
                  <c:v>THR315</c:v>
                </c:pt>
                <c:pt idx="6">
                  <c:v>GLU316</c:v>
                </c:pt>
                <c:pt idx="7">
                  <c:v>GLU316</c:v>
                </c:pt>
                <c:pt idx="8">
                  <c:v>PHE317</c:v>
                </c:pt>
                <c:pt idx="9">
                  <c:v>MET318</c:v>
                </c:pt>
                <c:pt idx="10">
                  <c:v>GLY321</c:v>
                </c:pt>
                <c:pt idx="11">
                  <c:v>ASN368</c:v>
                </c:pt>
                <c:pt idx="12">
                  <c:v>LEU370</c:v>
                </c:pt>
                <c:pt idx="13">
                  <c:v>ALA380</c:v>
                </c:pt>
                <c:pt idx="14">
                  <c:v>PHE382</c:v>
                </c:pt>
                <c:pt idx="15">
                  <c:v>ASN368</c:v>
                </c:pt>
              </c:strCache>
            </c:strRef>
          </c:cat>
          <c:val>
            <c:numRef>
              <c:f>Sheet1!$H$5:$H$20</c:f>
              <c:numCache>
                <c:formatCode>General</c:formatCode>
                <c:ptCount val="16"/>
                <c:pt idx="0">
                  <c:v>-4.2168469999999996</c:v>
                </c:pt>
                <c:pt idx="1">
                  <c:v>-11.919797000000001</c:v>
                </c:pt>
                <c:pt idx="2">
                  <c:v>-2.4219870000000001</c:v>
                </c:pt>
                <c:pt idx="3">
                  <c:v>-4.3446009999999999</c:v>
                </c:pt>
                <c:pt idx="4">
                  <c:v>-9.1156009999999998</c:v>
                </c:pt>
                <c:pt idx="5">
                  <c:v>-3.0183789999999999</c:v>
                </c:pt>
                <c:pt idx="6">
                  <c:v>-5.0242380000000004</c:v>
                </c:pt>
                <c:pt idx="7">
                  <c:v>-4.5413629999999996</c:v>
                </c:pt>
                <c:pt idx="8">
                  <c:v>-6.0900379999999998</c:v>
                </c:pt>
                <c:pt idx="9">
                  <c:v>-6.8570929999999999</c:v>
                </c:pt>
                <c:pt idx="10">
                  <c:v>-2.3329309999999999</c:v>
                </c:pt>
                <c:pt idx="11">
                  <c:v>-3.5816560000000002</c:v>
                </c:pt>
                <c:pt idx="12">
                  <c:v>-4.3724569999999998</c:v>
                </c:pt>
                <c:pt idx="13">
                  <c:v>-2.5851649999999999</c:v>
                </c:pt>
                <c:pt idx="14">
                  <c:v>-6.5406649999999997</c:v>
                </c:pt>
                <c:pt idx="15">
                  <c:v>-1.4130210000000001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B9-4C0A-BAEF-CF294EDF329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Sheet1!$DO$5:$DO$20</c:f>
              <c:numCache>
                <c:formatCode>General</c:formatCode>
                <c:ptCount val="16"/>
                <c:pt idx="0">
                  <c:v>-4.2168469999999996</c:v>
                </c:pt>
                <c:pt idx="1">
                  <c:v>-11.919797000000001</c:v>
                </c:pt>
                <c:pt idx="2">
                  <c:v>-2.4219870000000001</c:v>
                </c:pt>
                <c:pt idx="3">
                  <c:v>-4.3446009999999999</c:v>
                </c:pt>
                <c:pt idx="4">
                  <c:v>-9.1156009999999998</c:v>
                </c:pt>
                <c:pt idx="5">
                  <c:v>-3.0183789999999999</c:v>
                </c:pt>
                <c:pt idx="6">
                  <c:v>-5.0242380000000004</c:v>
                </c:pt>
                <c:pt idx="7">
                  <c:v>-4.5413629999999996</c:v>
                </c:pt>
                <c:pt idx="8">
                  <c:v>-6.0900379999999998</c:v>
                </c:pt>
                <c:pt idx="9">
                  <c:v>-6.8570929999999999</c:v>
                </c:pt>
                <c:pt idx="10">
                  <c:v>-2.3329309999999999</c:v>
                </c:pt>
                <c:pt idx="11">
                  <c:v>-3.5816560000000002</c:v>
                </c:pt>
                <c:pt idx="12">
                  <c:v>-4.3724569999999998</c:v>
                </c:pt>
                <c:pt idx="13">
                  <c:v>-2.5851649999999999</c:v>
                </c:pt>
                <c:pt idx="14">
                  <c:v>-6.5406649999999997</c:v>
                </c:pt>
                <c:pt idx="15">
                  <c:v>-1.4130210000000001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B9-4C0A-BAEF-CF294EDF3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189296"/>
        <c:axId val="335247632"/>
      </c:lineChart>
      <c:catAx>
        <c:axId val="33518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247632"/>
        <c:crosses val="autoZero"/>
        <c:auto val="1"/>
        <c:lblAlgn val="ctr"/>
        <c:lblOffset val="100"/>
        <c:noMultiLvlLbl val="0"/>
      </c:catAx>
      <c:valAx>
        <c:axId val="3352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18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Sheet1!$F$24:$F$39</c:f>
              <c:strCache>
                <c:ptCount val="16"/>
                <c:pt idx="0">
                  <c:v>TYR253</c:v>
                </c:pt>
                <c:pt idx="1">
                  <c:v>TYR253</c:v>
                </c:pt>
                <c:pt idx="2">
                  <c:v>ALA269</c:v>
                </c:pt>
                <c:pt idx="3">
                  <c:v>LYS271</c:v>
                </c:pt>
                <c:pt idx="4">
                  <c:v>LYS271</c:v>
                </c:pt>
                <c:pt idx="5">
                  <c:v>THR315</c:v>
                </c:pt>
                <c:pt idx="6">
                  <c:v>GLU316</c:v>
                </c:pt>
                <c:pt idx="7">
                  <c:v>GLU316</c:v>
                </c:pt>
                <c:pt idx="8">
                  <c:v>PHE317</c:v>
                </c:pt>
                <c:pt idx="9">
                  <c:v>MET318</c:v>
                </c:pt>
                <c:pt idx="10">
                  <c:v>GLY321</c:v>
                </c:pt>
                <c:pt idx="11">
                  <c:v>ASN368</c:v>
                </c:pt>
                <c:pt idx="12">
                  <c:v>LEU370</c:v>
                </c:pt>
                <c:pt idx="13">
                  <c:v>ALA380</c:v>
                </c:pt>
                <c:pt idx="14">
                  <c:v>PHE382</c:v>
                </c:pt>
                <c:pt idx="15">
                  <c:v>ASN368</c:v>
                </c:pt>
              </c:strCache>
            </c:strRef>
          </c:cat>
          <c:val>
            <c:numRef>
              <c:f>Sheet1!$H$24:$H$39</c:f>
              <c:numCache>
                <c:formatCode>General</c:formatCode>
                <c:ptCount val="16"/>
                <c:pt idx="0">
                  <c:v>-3.7181769999999998</c:v>
                </c:pt>
                <c:pt idx="1">
                  <c:v>-11.938196</c:v>
                </c:pt>
                <c:pt idx="2">
                  <c:v>-2.053169</c:v>
                </c:pt>
                <c:pt idx="3">
                  <c:v>-5.0249980000000001</c:v>
                </c:pt>
                <c:pt idx="4">
                  <c:v>-10.312688</c:v>
                </c:pt>
                <c:pt idx="5">
                  <c:v>1.3586450000000001</c:v>
                </c:pt>
                <c:pt idx="6">
                  <c:v>2.156542</c:v>
                </c:pt>
                <c:pt idx="7">
                  <c:v>3.7155339999999999</c:v>
                </c:pt>
                <c:pt idx="8">
                  <c:v>-5.3490000000000002</c:v>
                </c:pt>
                <c:pt idx="9">
                  <c:v>-10.891303000000001</c:v>
                </c:pt>
                <c:pt idx="10">
                  <c:v>-2.7100710000000001</c:v>
                </c:pt>
                <c:pt idx="11">
                  <c:v>-3.4862880000000001</c:v>
                </c:pt>
                <c:pt idx="12">
                  <c:v>-3.6668159999999999</c:v>
                </c:pt>
                <c:pt idx="13">
                  <c:v>-2.3797060000000001</c:v>
                </c:pt>
                <c:pt idx="14">
                  <c:v>-6.7600680000000004</c:v>
                </c:pt>
                <c:pt idx="15">
                  <c:v>-1.583653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3-496B-A6C3-1DB510455D8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Sheet1!$F$24:$F$39</c:f>
              <c:strCache>
                <c:ptCount val="16"/>
                <c:pt idx="0">
                  <c:v>TYR253</c:v>
                </c:pt>
                <c:pt idx="1">
                  <c:v>TYR253</c:v>
                </c:pt>
                <c:pt idx="2">
                  <c:v>ALA269</c:v>
                </c:pt>
                <c:pt idx="3">
                  <c:v>LYS271</c:v>
                </c:pt>
                <c:pt idx="4">
                  <c:v>LYS271</c:v>
                </c:pt>
                <c:pt idx="5">
                  <c:v>THR315</c:v>
                </c:pt>
                <c:pt idx="6">
                  <c:v>GLU316</c:v>
                </c:pt>
                <c:pt idx="7">
                  <c:v>GLU316</c:v>
                </c:pt>
                <c:pt idx="8">
                  <c:v>PHE317</c:v>
                </c:pt>
                <c:pt idx="9">
                  <c:v>MET318</c:v>
                </c:pt>
                <c:pt idx="10">
                  <c:v>GLY321</c:v>
                </c:pt>
                <c:pt idx="11">
                  <c:v>ASN368</c:v>
                </c:pt>
                <c:pt idx="12">
                  <c:v>LEU370</c:v>
                </c:pt>
                <c:pt idx="13">
                  <c:v>ALA380</c:v>
                </c:pt>
                <c:pt idx="14">
                  <c:v>PHE382</c:v>
                </c:pt>
                <c:pt idx="15">
                  <c:v>ASN368</c:v>
                </c:pt>
              </c:strCache>
            </c:strRef>
          </c:cat>
          <c:val>
            <c:numRef>
              <c:f>Sheet1!$DO$25:$DO$40</c:f>
              <c:numCache>
                <c:formatCode>General</c:formatCode>
                <c:ptCount val="16"/>
                <c:pt idx="0">
                  <c:v>-3.7181769999999998</c:v>
                </c:pt>
                <c:pt idx="1">
                  <c:v>-11.938196</c:v>
                </c:pt>
                <c:pt idx="2">
                  <c:v>-2.053169</c:v>
                </c:pt>
                <c:pt idx="3">
                  <c:v>-5.0249980000000001</c:v>
                </c:pt>
                <c:pt idx="4">
                  <c:v>-10.312688</c:v>
                </c:pt>
                <c:pt idx="5">
                  <c:v>1.3586450000000001</c:v>
                </c:pt>
                <c:pt idx="6">
                  <c:v>2.156542</c:v>
                </c:pt>
                <c:pt idx="7">
                  <c:v>3.7155339999999999</c:v>
                </c:pt>
                <c:pt idx="8">
                  <c:v>-5.3490000000000002</c:v>
                </c:pt>
                <c:pt idx="9">
                  <c:v>-10.891303000000001</c:v>
                </c:pt>
                <c:pt idx="10">
                  <c:v>-2.7100710000000001</c:v>
                </c:pt>
                <c:pt idx="11">
                  <c:v>-3.4862880000000001</c:v>
                </c:pt>
                <c:pt idx="12">
                  <c:v>-3.6668159999999999</c:v>
                </c:pt>
                <c:pt idx="13">
                  <c:v>-2.3797060000000001</c:v>
                </c:pt>
                <c:pt idx="14">
                  <c:v>-6.7600680000000004</c:v>
                </c:pt>
                <c:pt idx="15">
                  <c:v>-1.583653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33-496B-A6C3-1DB510455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189296"/>
        <c:axId val="335247632"/>
      </c:lineChart>
      <c:catAx>
        <c:axId val="33518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247632"/>
        <c:crosses val="autoZero"/>
        <c:auto val="1"/>
        <c:lblAlgn val="ctr"/>
        <c:lblOffset val="100"/>
        <c:noMultiLvlLbl val="0"/>
      </c:catAx>
      <c:valAx>
        <c:axId val="3352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518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69850</xdr:colOff>
      <xdr:row>5</xdr:row>
      <xdr:rowOff>63500</xdr:rowOff>
    </xdr:from>
    <xdr:to>
      <xdr:col>37</xdr:col>
      <xdr:colOff>996950</xdr:colOff>
      <xdr:row>18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D6E7C9-BFEF-27A9-6C36-CB1A186B3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76200</xdr:colOff>
      <xdr:row>24</xdr:row>
      <xdr:rowOff>38100</xdr:rowOff>
    </xdr:from>
    <xdr:to>
      <xdr:col>37</xdr:col>
      <xdr:colOff>1003300</xdr:colOff>
      <xdr:row>37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312B61-5AF7-B84E-83A8-59D24A34B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114300</xdr:colOff>
      <xdr:row>4</xdr:row>
      <xdr:rowOff>50800</xdr:rowOff>
    </xdr:from>
    <xdr:to>
      <xdr:col>64</xdr:col>
      <xdr:colOff>939800</xdr:colOff>
      <xdr:row>17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77093C-0C6E-8F4D-A554-648AF5892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57</xdr:col>
      <xdr:colOff>419100</xdr:colOff>
      <xdr:row>20</xdr:row>
      <xdr:rowOff>58420</xdr:rowOff>
    </xdr:from>
    <xdr:to>
      <xdr:col>64</xdr:col>
      <xdr:colOff>779780</xdr:colOff>
      <xdr:row>33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14D5CE-D91A-0544-82C5-061A0B644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335280</xdr:colOff>
      <xdr:row>4</xdr:row>
      <xdr:rowOff>160020</xdr:rowOff>
    </xdr:from>
    <xdr:to>
      <xdr:col>19</xdr:col>
      <xdr:colOff>1109980</xdr:colOff>
      <xdr:row>18</xdr:row>
      <xdr:rowOff>71120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D6E7C9-BFEF-27A9-6C36-CB1A186B3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356870</xdr:colOff>
      <xdr:row>23</xdr:row>
      <xdr:rowOff>104140</xdr:rowOff>
    </xdr:from>
    <xdr:to>
      <xdr:col>19</xdr:col>
      <xdr:colOff>1131570</xdr:colOff>
      <xdr:row>37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9312B61-5AF7-B84E-83A8-59D24A34B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304800</xdr:colOff>
      <xdr:row>5</xdr:row>
      <xdr:rowOff>137160</xdr:rowOff>
    </xdr:from>
    <xdr:to>
      <xdr:col>28</xdr:col>
      <xdr:colOff>1079500</xdr:colOff>
      <xdr:row>19</xdr:row>
      <xdr:rowOff>48260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AD6E7C9-BFEF-27A9-6C36-CB1A186B3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326390</xdr:colOff>
      <xdr:row>24</xdr:row>
      <xdr:rowOff>81280</xdr:rowOff>
    </xdr:from>
    <xdr:to>
      <xdr:col>28</xdr:col>
      <xdr:colOff>1101090</xdr:colOff>
      <xdr:row>37</xdr:row>
      <xdr:rowOff>182880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9312B61-5AF7-B84E-83A8-59D24A34B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39</xdr:col>
      <xdr:colOff>312420</xdr:colOff>
      <xdr:row>4</xdr:row>
      <xdr:rowOff>175260</xdr:rowOff>
    </xdr:from>
    <xdr:to>
      <xdr:col>46</xdr:col>
      <xdr:colOff>1087120</xdr:colOff>
      <xdr:row>18</xdr:row>
      <xdr:rowOff>86360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D6E7C9-BFEF-27A9-6C36-CB1A186B3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39</xdr:col>
      <xdr:colOff>318770</xdr:colOff>
      <xdr:row>23</xdr:row>
      <xdr:rowOff>149860</xdr:rowOff>
    </xdr:from>
    <xdr:to>
      <xdr:col>46</xdr:col>
      <xdr:colOff>1093470</xdr:colOff>
      <xdr:row>37</xdr:row>
      <xdr:rowOff>60960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9312B61-5AF7-B84E-83A8-59D24A34B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85</xdr:col>
      <xdr:colOff>274320</xdr:colOff>
      <xdr:row>19</xdr:row>
      <xdr:rowOff>53340</xdr:rowOff>
    </xdr:from>
    <xdr:to>
      <xdr:col>92</xdr:col>
      <xdr:colOff>980440</xdr:colOff>
      <xdr:row>32</xdr:row>
      <xdr:rowOff>154940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AD6E7C9-BFEF-27A9-6C36-CB1A186B3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94</xdr:col>
      <xdr:colOff>144780</xdr:colOff>
      <xdr:row>19</xdr:row>
      <xdr:rowOff>99060</xdr:rowOff>
    </xdr:from>
    <xdr:to>
      <xdr:col>101</xdr:col>
      <xdr:colOff>850900</xdr:colOff>
      <xdr:row>33</xdr:row>
      <xdr:rowOff>10160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AD6E7C9-BFEF-27A9-6C36-CB1A186B3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103</xdr:col>
      <xdr:colOff>228600</xdr:colOff>
      <xdr:row>17</xdr:row>
      <xdr:rowOff>121920</xdr:rowOff>
    </xdr:from>
    <xdr:to>
      <xdr:col>110</xdr:col>
      <xdr:colOff>934720</xdr:colOff>
      <xdr:row>31</xdr:row>
      <xdr:rowOff>33020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AD6E7C9-BFEF-27A9-6C36-CB1A186B3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112</xdr:col>
      <xdr:colOff>289560</xdr:colOff>
      <xdr:row>5</xdr:row>
      <xdr:rowOff>0</xdr:rowOff>
    </xdr:from>
    <xdr:to>
      <xdr:col>119</xdr:col>
      <xdr:colOff>957580</xdr:colOff>
      <xdr:row>18</xdr:row>
      <xdr:rowOff>101600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AD6E7C9-BFEF-27A9-6C36-CB1A186B3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113</xdr:col>
      <xdr:colOff>120650</xdr:colOff>
      <xdr:row>25</xdr:row>
      <xdr:rowOff>12700</xdr:rowOff>
    </xdr:from>
    <xdr:to>
      <xdr:col>119</xdr:col>
      <xdr:colOff>1177290</xdr:colOff>
      <xdr:row>38</xdr:row>
      <xdr:rowOff>114300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9312B61-5AF7-B84E-83A8-59D24A34B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A41"/>
  <sheetViews>
    <sheetView tabSelected="1" topLeftCell="DK10" workbookViewId="0">
      <selection activeCell="EC25" sqref="EC25"/>
    </sheetView>
  </sheetViews>
  <sheetFormatPr defaultColWidth="10.90625" defaultRowHeight="15"/>
  <cols>
    <col min="2" max="2" width="4.453125" bestFit="1" customWidth="1"/>
    <col min="3" max="3" width="5.6328125" bestFit="1" customWidth="1"/>
    <col min="4" max="4" width="4.6328125" bestFit="1" customWidth="1"/>
    <col min="5" max="5" width="10.6328125" bestFit="1" customWidth="1"/>
    <col min="6" max="6" width="8.1796875" bestFit="1" customWidth="1"/>
    <col min="7" max="7" width="6" bestFit="1" customWidth="1"/>
    <col min="8" max="8" width="12.6328125" bestFit="1" customWidth="1"/>
    <col min="9" max="9" width="16.6328125" bestFit="1" customWidth="1"/>
    <col min="10" max="10" width="12.453125" bestFit="1" customWidth="1"/>
    <col min="11" max="11" width="12.7265625" bestFit="1" customWidth="1"/>
    <col min="12" max="12" width="12.7265625" customWidth="1"/>
    <col min="13" max="13" width="4.6328125" bestFit="1" customWidth="1"/>
    <col min="14" max="14" width="4.90625" bestFit="1" customWidth="1"/>
    <col min="15" max="15" width="4.26953125" bestFit="1" customWidth="1"/>
    <col min="16" max="16" width="9.7265625" bestFit="1" customWidth="1"/>
    <col min="17" max="17" width="7.90625" bestFit="1" customWidth="1"/>
    <col min="18" max="18" width="6.453125" bestFit="1" customWidth="1"/>
    <col min="19" max="19" width="11.6328125" bestFit="1" customWidth="1"/>
    <col min="20" max="20" width="15.54296875" bestFit="1" customWidth="1"/>
    <col min="21" max="21" width="15.54296875" customWidth="1"/>
    <col min="22" max="22" width="4.6328125" bestFit="1" customWidth="1"/>
    <col min="23" max="23" width="4.90625" bestFit="1" customWidth="1"/>
    <col min="24" max="24" width="4.26953125" bestFit="1" customWidth="1"/>
    <col min="25" max="25" width="9.7265625" bestFit="1" customWidth="1"/>
    <col min="26" max="26" width="7.90625" bestFit="1" customWidth="1"/>
    <col min="27" max="27" width="6.453125" bestFit="1" customWidth="1"/>
    <col min="28" max="28" width="11.6328125" bestFit="1" customWidth="1"/>
    <col min="29" max="29" width="15.54296875" customWidth="1"/>
    <col min="31" max="31" width="4.453125" bestFit="1" customWidth="1"/>
    <col min="32" max="32" width="5.6328125" bestFit="1" customWidth="1"/>
    <col min="33" max="33" width="4.6328125" bestFit="1" customWidth="1"/>
    <col min="34" max="34" width="10.6328125" bestFit="1" customWidth="1"/>
    <col min="35" max="35" width="8.1796875" bestFit="1" customWidth="1"/>
    <col min="36" max="36" width="6" bestFit="1" customWidth="1"/>
    <col min="37" max="37" width="12.6328125" bestFit="1" customWidth="1"/>
    <col min="38" max="38" width="16.6328125" bestFit="1" customWidth="1"/>
    <col min="39" max="39" width="16.6328125" customWidth="1"/>
    <col min="40" max="40" width="4.6328125" bestFit="1" customWidth="1"/>
    <col min="41" max="41" width="4.90625" bestFit="1" customWidth="1"/>
    <col min="42" max="42" width="4.26953125" bestFit="1" customWidth="1"/>
    <col min="43" max="43" width="9.7265625" bestFit="1" customWidth="1"/>
    <col min="44" max="44" width="7.90625" bestFit="1" customWidth="1"/>
    <col min="45" max="45" width="6.453125" bestFit="1" customWidth="1"/>
    <col min="46" max="46" width="11.6328125" bestFit="1" customWidth="1"/>
    <col min="47" max="47" width="15.54296875" bestFit="1" customWidth="1"/>
    <col min="48" max="48" width="8.1796875" customWidth="1"/>
    <col min="49" max="49" width="4.453125" bestFit="1" customWidth="1"/>
    <col min="50" max="50" width="5.6328125" bestFit="1" customWidth="1"/>
    <col min="51" max="51" width="4.6328125" bestFit="1" customWidth="1"/>
    <col min="52" max="52" width="10.6328125" bestFit="1" customWidth="1"/>
    <col min="53" max="53" width="8.1796875" bestFit="1" customWidth="1"/>
    <col min="54" max="54" width="6.453125" bestFit="1" customWidth="1"/>
    <col min="55" max="55" width="12.6328125" bestFit="1" customWidth="1"/>
    <col min="56" max="56" width="16.6328125" bestFit="1" customWidth="1"/>
    <col min="57" max="57" width="6.453125" customWidth="1"/>
    <col min="58" max="58" width="6" bestFit="1" customWidth="1"/>
    <col min="59" max="59" width="5.6328125" bestFit="1" customWidth="1"/>
    <col min="60" max="60" width="4.6328125" bestFit="1" customWidth="1"/>
    <col min="61" max="61" width="10.6328125" bestFit="1" customWidth="1"/>
    <col min="62" max="62" width="8.1796875" bestFit="1" customWidth="1"/>
    <col min="63" max="63" width="6" bestFit="1" customWidth="1"/>
    <col min="64" max="64" width="12.6328125" bestFit="1" customWidth="1"/>
    <col min="65" max="65" width="16.6328125" bestFit="1" customWidth="1"/>
    <col min="67" max="67" width="4.453125" bestFit="1" customWidth="1"/>
    <col min="68" max="68" width="5.6328125" bestFit="1" customWidth="1"/>
    <col min="69" max="69" width="4.6328125" bestFit="1" customWidth="1"/>
    <col min="70" max="70" width="10.6328125" bestFit="1" customWidth="1"/>
    <col min="71" max="71" width="8.1796875" bestFit="1" customWidth="1"/>
    <col min="72" max="72" width="6" bestFit="1" customWidth="1"/>
    <col min="73" max="73" width="12.6328125" bestFit="1" customWidth="1"/>
    <col min="74" max="74" width="16.6328125" bestFit="1" customWidth="1"/>
    <col min="76" max="76" width="4.6328125" bestFit="1" customWidth="1"/>
    <col min="77" max="77" width="4.90625" bestFit="1" customWidth="1"/>
    <col min="78" max="78" width="4.26953125" bestFit="1" customWidth="1"/>
    <col min="79" max="79" width="9.7265625" bestFit="1" customWidth="1"/>
    <col min="80" max="80" width="7.90625" bestFit="1" customWidth="1"/>
    <col min="81" max="81" width="6.453125" bestFit="1" customWidth="1"/>
    <col min="82" max="82" width="11.6328125" bestFit="1" customWidth="1"/>
    <col min="83" max="83" width="15.54296875" bestFit="1" customWidth="1"/>
    <col min="84" max="84" width="12.7265625" bestFit="1" customWidth="1"/>
    <col min="86" max="86" width="5.453125" bestFit="1" customWidth="1"/>
    <col min="87" max="87" width="4.90625" bestFit="1" customWidth="1"/>
    <col min="88" max="88" width="4.26953125" bestFit="1" customWidth="1"/>
    <col min="89" max="89" width="9.7265625" bestFit="1" customWidth="1"/>
    <col min="90" max="90" width="7.90625" bestFit="1" customWidth="1"/>
    <col min="91" max="91" width="6.453125" bestFit="1" customWidth="1"/>
    <col min="92" max="92" width="11.6328125" bestFit="1" customWidth="1"/>
    <col min="93" max="93" width="15.54296875" bestFit="1" customWidth="1"/>
    <col min="95" max="95" width="5.453125" bestFit="1" customWidth="1"/>
    <col min="96" max="96" width="4.90625" bestFit="1" customWidth="1"/>
    <col min="97" max="97" width="4.26953125" bestFit="1" customWidth="1"/>
    <col min="98" max="98" width="9.7265625" bestFit="1" customWidth="1"/>
    <col min="99" max="99" width="7.90625" bestFit="1" customWidth="1"/>
    <col min="100" max="100" width="6.453125" bestFit="1" customWidth="1"/>
    <col min="101" max="101" width="11.6328125" bestFit="1" customWidth="1"/>
    <col min="102" max="102" width="15.54296875" bestFit="1" customWidth="1"/>
    <col min="104" max="104" width="5.453125" bestFit="1" customWidth="1"/>
    <col min="105" max="105" width="4.90625" bestFit="1" customWidth="1"/>
    <col min="106" max="106" width="4.26953125" bestFit="1" customWidth="1"/>
    <col min="107" max="107" width="9.7265625" bestFit="1" customWidth="1"/>
    <col min="108" max="108" width="7.90625" bestFit="1" customWidth="1"/>
    <col min="109" max="109" width="6.453125" bestFit="1" customWidth="1"/>
    <col min="110" max="110" width="11.6328125" bestFit="1" customWidth="1"/>
    <col min="111" max="111" width="15.54296875" bestFit="1" customWidth="1"/>
    <col min="113" max="113" width="4.6328125" bestFit="1" customWidth="1"/>
    <col min="114" max="114" width="4.90625" bestFit="1" customWidth="1"/>
    <col min="115" max="115" width="4.81640625" bestFit="1" customWidth="1"/>
    <col min="116" max="116" width="9.7265625" bestFit="1" customWidth="1"/>
    <col min="117" max="117" width="8.6328125" bestFit="1" customWidth="1"/>
    <col min="118" max="118" width="6.453125" bestFit="1" customWidth="1"/>
    <col min="119" max="119" width="11.6328125" bestFit="1" customWidth="1"/>
    <col min="120" max="120" width="15.54296875" bestFit="1" customWidth="1"/>
    <col min="122" max="122" width="4.6328125" bestFit="1" customWidth="1"/>
    <col min="123" max="123" width="4.90625" bestFit="1" customWidth="1"/>
    <col min="124" max="124" width="4.26953125" bestFit="1" customWidth="1"/>
    <col min="125" max="125" width="9.7265625" bestFit="1" customWidth="1"/>
    <col min="126" max="126" width="7.90625" bestFit="1" customWidth="1"/>
    <col min="127" max="127" width="15.6328125" customWidth="1"/>
    <col min="128" max="128" width="11.6328125" bestFit="1" customWidth="1"/>
    <col min="129" max="129" width="15.54296875" bestFit="1" customWidth="1"/>
    <col min="131" max="131" width="12.08984375" bestFit="1" customWidth="1"/>
  </cols>
  <sheetData>
    <row r="1" spans="2:131" ht="15.6">
      <c r="B1" s="7"/>
      <c r="C1" s="7"/>
      <c r="D1" s="7"/>
      <c r="E1" s="7"/>
      <c r="F1" s="7"/>
      <c r="G1" s="7"/>
      <c r="H1" s="7"/>
      <c r="I1" s="7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W1" s="6" t="s">
        <v>47</v>
      </c>
      <c r="AX1" s="6"/>
      <c r="AY1" s="6"/>
      <c r="AZ1" s="6"/>
      <c r="BA1" s="6"/>
      <c r="BB1" s="6"/>
      <c r="BC1" s="6"/>
      <c r="BD1" s="6"/>
      <c r="BO1" s="5" t="s">
        <v>46</v>
      </c>
      <c r="BP1" s="5"/>
      <c r="BQ1" s="5"/>
      <c r="BR1" s="5"/>
      <c r="BS1" s="5"/>
      <c r="BT1" s="5"/>
      <c r="BU1" s="5"/>
      <c r="BV1" s="5"/>
    </row>
    <row r="2" spans="2:131">
      <c r="B2" s="4" t="s">
        <v>35</v>
      </c>
      <c r="C2" s="4"/>
      <c r="D2" s="4"/>
      <c r="E2" s="4"/>
      <c r="F2" s="4"/>
      <c r="G2" s="4"/>
      <c r="H2" s="4"/>
      <c r="I2" s="4"/>
      <c r="J2" s="2"/>
      <c r="K2" s="2"/>
      <c r="L2" s="2"/>
      <c r="M2" s="4" t="s">
        <v>50</v>
      </c>
      <c r="N2" s="4"/>
      <c r="O2" s="4"/>
      <c r="P2" s="4"/>
      <c r="Q2" s="4"/>
      <c r="R2" s="4"/>
      <c r="S2" s="4"/>
      <c r="T2" s="4"/>
      <c r="U2" s="2"/>
      <c r="V2" s="4" t="s">
        <v>52</v>
      </c>
      <c r="W2" s="4"/>
      <c r="X2" s="4"/>
      <c r="Y2" s="4"/>
      <c r="Z2" s="4"/>
      <c r="AA2" s="4"/>
      <c r="AB2" s="4"/>
      <c r="AC2" s="4"/>
      <c r="AE2" s="4" t="s">
        <v>38</v>
      </c>
      <c r="AF2" s="4"/>
      <c r="AG2" s="4"/>
      <c r="AH2" s="4"/>
      <c r="AI2" s="4"/>
      <c r="AJ2" s="4"/>
      <c r="AK2" s="4"/>
      <c r="AL2" s="4"/>
      <c r="AM2" s="2"/>
      <c r="AN2" s="4" t="s">
        <v>55</v>
      </c>
      <c r="AO2" s="4"/>
      <c r="AP2" s="4"/>
      <c r="AQ2" s="4"/>
      <c r="AR2" s="4"/>
      <c r="AS2" s="4"/>
      <c r="AT2" s="4"/>
      <c r="AU2" s="4"/>
      <c r="AV2" s="1"/>
      <c r="AW2" s="4" t="s">
        <v>43</v>
      </c>
      <c r="AX2" s="4"/>
      <c r="AY2" s="4"/>
      <c r="AZ2" s="4"/>
      <c r="BA2" s="4"/>
      <c r="BB2" s="4"/>
      <c r="BC2" s="4"/>
      <c r="BD2" s="4"/>
      <c r="BF2" s="4" t="s">
        <v>42</v>
      </c>
      <c r="BG2" s="4"/>
      <c r="BH2" s="4"/>
      <c r="BI2" s="4"/>
      <c r="BJ2" s="4"/>
      <c r="BK2" s="4"/>
      <c r="BL2" s="4"/>
      <c r="BM2" s="4"/>
      <c r="BO2" s="4" t="s">
        <v>45</v>
      </c>
      <c r="BP2" s="4"/>
      <c r="BQ2" s="4"/>
      <c r="BR2" s="4"/>
      <c r="BS2" s="4"/>
      <c r="BT2" s="4"/>
      <c r="BU2" s="4"/>
      <c r="BV2" s="4"/>
      <c r="BX2" s="4" t="s">
        <v>57</v>
      </c>
      <c r="BY2" s="4"/>
      <c r="BZ2" s="4"/>
      <c r="CA2" s="4"/>
      <c r="CB2" s="4"/>
      <c r="CC2" s="4"/>
      <c r="CD2" s="4"/>
      <c r="CE2" s="4"/>
      <c r="CH2" s="4" t="s">
        <v>58</v>
      </c>
      <c r="CI2" s="4"/>
      <c r="CJ2" s="4"/>
      <c r="CK2" s="4"/>
      <c r="CL2" s="4"/>
      <c r="CM2" s="4"/>
      <c r="CN2" s="4"/>
      <c r="CO2" s="4"/>
      <c r="CQ2" s="4" t="s">
        <v>44</v>
      </c>
      <c r="CR2" s="4"/>
      <c r="CS2" s="4"/>
      <c r="CT2" s="4"/>
      <c r="CU2" s="4"/>
      <c r="CV2" s="4"/>
      <c r="CW2" s="4"/>
      <c r="CX2" s="4"/>
      <c r="CZ2" s="4" t="s">
        <v>59</v>
      </c>
      <c r="DA2" s="4"/>
      <c r="DB2" s="4"/>
      <c r="DC2" s="4"/>
      <c r="DD2" s="4"/>
      <c r="DE2" s="4"/>
      <c r="DF2" s="4"/>
      <c r="DG2" s="4"/>
      <c r="DI2" s="4" t="s">
        <v>62</v>
      </c>
      <c r="DJ2" s="4"/>
      <c r="DK2" s="4"/>
      <c r="DL2" s="4"/>
      <c r="DM2" s="4"/>
      <c r="DN2" s="4"/>
      <c r="DO2" s="4"/>
      <c r="DP2" s="4"/>
      <c r="DR2" s="4" t="s">
        <v>45</v>
      </c>
      <c r="DS2" s="4"/>
      <c r="DT2" s="4"/>
      <c r="DU2" s="4"/>
      <c r="DV2" s="4"/>
      <c r="DW2" s="4"/>
      <c r="DX2" s="4"/>
      <c r="DY2" s="4"/>
    </row>
    <row r="3" spans="2:131">
      <c r="B3" s="4" t="s">
        <v>0</v>
      </c>
      <c r="C3" s="4"/>
      <c r="D3" s="4"/>
      <c r="E3" s="4"/>
      <c r="F3" s="4"/>
      <c r="G3" s="4"/>
      <c r="H3" s="4"/>
      <c r="I3" s="4"/>
      <c r="J3" s="2"/>
      <c r="K3" s="2"/>
      <c r="L3" s="2"/>
      <c r="M3" s="4" t="s">
        <v>0</v>
      </c>
      <c r="N3" s="4"/>
      <c r="O3" s="4"/>
      <c r="P3" s="4"/>
      <c r="Q3" s="4"/>
      <c r="R3" s="4"/>
      <c r="S3" s="4"/>
      <c r="T3" s="4"/>
      <c r="U3" s="2"/>
      <c r="V3" s="4" t="s">
        <v>51</v>
      </c>
      <c r="W3" s="4"/>
      <c r="X3" s="4"/>
      <c r="Y3" s="4"/>
      <c r="Z3" s="4"/>
      <c r="AA3" s="4"/>
      <c r="AB3" s="4"/>
      <c r="AC3" s="4"/>
      <c r="AE3" s="4" t="s">
        <v>36</v>
      </c>
      <c r="AF3" s="4"/>
      <c r="AG3" s="4"/>
      <c r="AH3" s="4"/>
      <c r="AI3" s="4"/>
      <c r="AJ3" s="4"/>
      <c r="AK3" s="4"/>
      <c r="AL3" s="4"/>
      <c r="AM3" s="2"/>
      <c r="AN3" s="4" t="s">
        <v>54</v>
      </c>
      <c r="AO3" s="4"/>
      <c r="AP3" s="4"/>
      <c r="AQ3" s="4"/>
      <c r="AR3" s="4"/>
      <c r="AS3" s="4"/>
      <c r="AT3" s="4"/>
      <c r="AU3" s="4"/>
      <c r="AV3" s="1"/>
      <c r="AW3" s="4" t="s">
        <v>0</v>
      </c>
      <c r="AX3" s="4"/>
      <c r="AY3" s="4"/>
      <c r="AZ3" s="4"/>
      <c r="BA3" s="4"/>
      <c r="BB3" s="4"/>
      <c r="BC3" s="4"/>
      <c r="BD3" s="4"/>
      <c r="BF3" t="s">
        <v>39</v>
      </c>
      <c r="BG3" t="s">
        <v>40</v>
      </c>
      <c r="BH3" t="s">
        <v>41</v>
      </c>
      <c r="BO3" s="4" t="s">
        <v>0</v>
      </c>
      <c r="BP3" s="4"/>
      <c r="BQ3" s="4"/>
      <c r="BR3" s="4"/>
      <c r="BS3" s="4"/>
      <c r="BT3" s="4"/>
      <c r="BU3" s="4"/>
      <c r="BV3" s="4"/>
      <c r="BX3" s="4" t="s">
        <v>0</v>
      </c>
      <c r="BY3" s="4"/>
      <c r="BZ3" s="4"/>
      <c r="CA3" s="4"/>
      <c r="CB3" s="4"/>
      <c r="CC3" s="4"/>
      <c r="CD3" s="4"/>
      <c r="CE3" s="4"/>
      <c r="CH3" t="s">
        <v>39</v>
      </c>
      <c r="CI3" t="s">
        <v>40</v>
      </c>
      <c r="CJ3" t="s">
        <v>41</v>
      </c>
      <c r="CQ3" t="s">
        <v>39</v>
      </c>
      <c r="CR3" t="s">
        <v>40</v>
      </c>
      <c r="CS3" t="s">
        <v>41</v>
      </c>
      <c r="CZ3" t="s">
        <v>39</v>
      </c>
      <c r="DA3" t="s">
        <v>40</v>
      </c>
      <c r="DB3" t="s">
        <v>41</v>
      </c>
      <c r="DI3" s="4" t="s">
        <v>0</v>
      </c>
      <c r="DJ3" s="4"/>
      <c r="DK3" s="4"/>
      <c r="DL3" s="4"/>
      <c r="DM3" s="4"/>
      <c r="DN3" s="4"/>
      <c r="DO3" s="4"/>
      <c r="DP3" s="4"/>
      <c r="DR3" s="4" t="s">
        <v>0</v>
      </c>
      <c r="DS3" s="4"/>
      <c r="DT3" s="4"/>
      <c r="DU3" s="4"/>
      <c r="DV3" s="4"/>
      <c r="DW3" s="4"/>
      <c r="DX3" s="4"/>
      <c r="DY3" s="4"/>
    </row>
    <row r="4" spans="2:131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48</v>
      </c>
      <c r="K4" t="s">
        <v>49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V4" t="s">
        <v>2</v>
      </c>
      <c r="W4" t="s">
        <v>3</v>
      </c>
      <c r="X4" t="s">
        <v>4</v>
      </c>
      <c r="Y4" t="s">
        <v>5</v>
      </c>
      <c r="Z4" t="s">
        <v>6</v>
      </c>
      <c r="AA4" t="s">
        <v>7</v>
      </c>
      <c r="AB4" t="s">
        <v>8</v>
      </c>
      <c r="AC4" t="s">
        <v>9</v>
      </c>
      <c r="AE4" t="s">
        <v>2</v>
      </c>
      <c r="AF4" t="s">
        <v>3</v>
      </c>
      <c r="AG4" t="s">
        <v>4</v>
      </c>
      <c r="AH4" t="s">
        <v>5</v>
      </c>
      <c r="AI4" t="s">
        <v>6</v>
      </c>
      <c r="AJ4" t="s">
        <v>7</v>
      </c>
      <c r="AK4" t="s">
        <v>8</v>
      </c>
      <c r="AL4" t="s">
        <v>9</v>
      </c>
      <c r="AN4" t="s">
        <v>2</v>
      </c>
      <c r="AO4" t="s">
        <v>3</v>
      </c>
      <c r="AP4" t="s">
        <v>4</v>
      </c>
      <c r="AQ4" t="s">
        <v>5</v>
      </c>
      <c r="AR4" t="s">
        <v>6</v>
      </c>
      <c r="AS4" t="s">
        <v>7</v>
      </c>
      <c r="AT4" t="s">
        <v>8</v>
      </c>
      <c r="AU4" t="s">
        <v>9</v>
      </c>
      <c r="AW4" t="s">
        <v>2</v>
      </c>
      <c r="AX4" t="s">
        <v>3</v>
      </c>
      <c r="AY4" t="s">
        <v>4</v>
      </c>
      <c r="AZ4" t="s">
        <v>5</v>
      </c>
      <c r="BA4" t="s">
        <v>6</v>
      </c>
      <c r="BB4" t="s">
        <v>7</v>
      </c>
      <c r="BC4" t="s">
        <v>8</v>
      </c>
      <c r="BD4" t="s">
        <v>9</v>
      </c>
      <c r="BF4" t="s">
        <v>2</v>
      </c>
      <c r="BG4" t="s">
        <v>3</v>
      </c>
      <c r="BH4" t="s">
        <v>4</v>
      </c>
      <c r="BI4" t="s">
        <v>5</v>
      </c>
      <c r="BJ4" t="s">
        <v>6</v>
      </c>
      <c r="BK4" t="s">
        <v>7</v>
      </c>
      <c r="BL4" t="s">
        <v>8</v>
      </c>
      <c r="BM4" t="s">
        <v>9</v>
      </c>
      <c r="BO4" t="s">
        <v>2</v>
      </c>
      <c r="BP4" t="s">
        <v>3</v>
      </c>
      <c r="BQ4" t="s">
        <v>4</v>
      </c>
      <c r="BR4" t="s">
        <v>5</v>
      </c>
      <c r="BS4" t="s">
        <v>6</v>
      </c>
      <c r="BT4" t="s">
        <v>7</v>
      </c>
      <c r="BU4" t="s">
        <v>8</v>
      </c>
      <c r="BV4" t="s">
        <v>9</v>
      </c>
      <c r="BX4" t="s">
        <v>2</v>
      </c>
      <c r="BY4" t="s">
        <v>3</v>
      </c>
      <c r="BZ4" t="s">
        <v>4</v>
      </c>
      <c r="CA4" t="s">
        <v>5</v>
      </c>
      <c r="CB4" t="s">
        <v>6</v>
      </c>
      <c r="CC4" t="s">
        <v>7</v>
      </c>
      <c r="CD4" t="s">
        <v>8</v>
      </c>
      <c r="CE4" t="s">
        <v>9</v>
      </c>
      <c r="CH4" t="s">
        <v>2</v>
      </c>
      <c r="CI4" t="s">
        <v>3</v>
      </c>
      <c r="CJ4" t="s">
        <v>4</v>
      </c>
      <c r="CK4" t="s">
        <v>5</v>
      </c>
      <c r="CL4" t="s">
        <v>6</v>
      </c>
      <c r="CM4" t="s">
        <v>7</v>
      </c>
      <c r="CN4" t="s">
        <v>8</v>
      </c>
      <c r="CO4" t="s">
        <v>9</v>
      </c>
      <c r="CQ4" t="s">
        <v>2</v>
      </c>
      <c r="CR4" t="s">
        <v>3</v>
      </c>
      <c r="CS4" t="s">
        <v>4</v>
      </c>
      <c r="CT4" t="s">
        <v>5</v>
      </c>
      <c r="CU4" t="s">
        <v>6</v>
      </c>
      <c r="CV4" t="s">
        <v>7</v>
      </c>
      <c r="CW4" t="s">
        <v>8</v>
      </c>
      <c r="CX4" t="s">
        <v>9</v>
      </c>
      <c r="CZ4" t="s">
        <v>2</v>
      </c>
      <c r="DA4" t="s">
        <v>3</v>
      </c>
      <c r="DB4" t="s">
        <v>4</v>
      </c>
      <c r="DC4" t="s">
        <v>5</v>
      </c>
      <c r="DD4" t="s">
        <v>6</v>
      </c>
      <c r="DE4" t="s">
        <v>7</v>
      </c>
      <c r="DF4" t="s">
        <v>8</v>
      </c>
      <c r="DG4" t="s">
        <v>9</v>
      </c>
      <c r="DI4" t="s">
        <v>2</v>
      </c>
      <c r="DJ4" t="s">
        <v>3</v>
      </c>
      <c r="DK4" t="s">
        <v>4</v>
      </c>
      <c r="DL4" t="s">
        <v>5</v>
      </c>
      <c r="DM4" t="s">
        <v>6</v>
      </c>
      <c r="DN4" t="s">
        <v>7</v>
      </c>
      <c r="DO4" t="s">
        <v>8</v>
      </c>
      <c r="DP4" t="s">
        <v>9</v>
      </c>
      <c r="DR4" t="s">
        <v>2</v>
      </c>
      <c r="DS4" t="s">
        <v>3</v>
      </c>
      <c r="DT4" t="s">
        <v>4</v>
      </c>
      <c r="DU4" t="s">
        <v>5</v>
      </c>
      <c r="DV4" t="s">
        <v>6</v>
      </c>
      <c r="DW4" t="s">
        <v>7</v>
      </c>
      <c r="DX4" t="s">
        <v>8</v>
      </c>
      <c r="DY4" t="s">
        <v>9</v>
      </c>
    </row>
    <row r="5" spans="2:131">
      <c r="B5" t="s">
        <v>10</v>
      </c>
      <c r="C5" t="s">
        <v>11</v>
      </c>
      <c r="D5">
        <v>253</v>
      </c>
      <c r="E5">
        <v>0</v>
      </c>
      <c r="F5" t="s">
        <v>12</v>
      </c>
      <c r="G5" t="b">
        <v>0</v>
      </c>
      <c r="H5">
        <v>-4.2168469999999996</v>
      </c>
      <c r="I5">
        <v>-0.78755500000000001</v>
      </c>
      <c r="J5">
        <v>-5.0043839403772656</v>
      </c>
      <c r="K5">
        <f>J5-I5-H5</f>
        <v>1.8059622734156733E-5</v>
      </c>
      <c r="M5" t="s">
        <v>10</v>
      </c>
      <c r="N5" t="s">
        <v>11</v>
      </c>
      <c r="O5">
        <v>253</v>
      </c>
      <c r="P5">
        <v>0</v>
      </c>
      <c r="Q5" t="s">
        <v>12</v>
      </c>
      <c r="R5" t="b">
        <v>0</v>
      </c>
      <c r="S5">
        <v>-4.2168469999999996</v>
      </c>
      <c r="T5">
        <v>-0.78755500000000001</v>
      </c>
      <c r="V5" t="s">
        <v>10</v>
      </c>
      <c r="W5" t="s">
        <v>11</v>
      </c>
      <c r="X5">
        <v>253</v>
      </c>
      <c r="Y5">
        <v>0</v>
      </c>
      <c r="Z5" t="s">
        <v>12</v>
      </c>
      <c r="AA5" t="b">
        <v>0</v>
      </c>
      <c r="AB5">
        <v>-4.2168469999999996</v>
      </c>
      <c r="AC5">
        <v>-0.78755500000000001</v>
      </c>
      <c r="AE5" t="s">
        <v>10</v>
      </c>
      <c r="AF5" t="s">
        <v>11</v>
      </c>
      <c r="AG5">
        <v>253</v>
      </c>
      <c r="AH5">
        <v>0</v>
      </c>
      <c r="AI5" t="s">
        <v>12</v>
      </c>
      <c r="AJ5" t="b">
        <v>0</v>
      </c>
      <c r="AK5">
        <v>-3.7266110000000001</v>
      </c>
      <c r="AL5">
        <v>-0.78665799999999997</v>
      </c>
      <c r="AN5" t="s">
        <v>10</v>
      </c>
      <c r="AO5" t="s">
        <v>11</v>
      </c>
      <c r="AP5">
        <v>253</v>
      </c>
      <c r="AQ5">
        <v>0</v>
      </c>
      <c r="AR5" t="s">
        <v>12</v>
      </c>
      <c r="AS5" t="b">
        <v>0</v>
      </c>
      <c r="AT5">
        <v>-3.7266110000000001</v>
      </c>
      <c r="AU5">
        <v>-0.78665799999999997</v>
      </c>
      <c r="AW5" t="s">
        <v>10</v>
      </c>
      <c r="AX5" t="s">
        <v>11</v>
      </c>
      <c r="AY5">
        <v>253</v>
      </c>
      <c r="AZ5">
        <v>0</v>
      </c>
      <c r="BA5" t="s">
        <v>12</v>
      </c>
      <c r="BB5" t="b">
        <v>0</v>
      </c>
      <c r="BC5">
        <v>-4.2168469999999996</v>
      </c>
      <c r="BD5">
        <v>-0.78755500000000001</v>
      </c>
      <c r="BF5" t="s">
        <v>10</v>
      </c>
      <c r="BG5" t="s">
        <v>11</v>
      </c>
      <c r="BH5">
        <v>253</v>
      </c>
      <c r="BI5">
        <v>0</v>
      </c>
      <c r="BJ5" t="s">
        <v>12</v>
      </c>
      <c r="BK5" t="b">
        <v>0</v>
      </c>
      <c r="BL5">
        <v>-4.2077540000000004</v>
      </c>
      <c r="BM5">
        <v>-0.78520800000000002</v>
      </c>
      <c r="BO5" t="s">
        <v>10</v>
      </c>
      <c r="BP5" t="s">
        <v>11</v>
      </c>
      <c r="BQ5">
        <v>253</v>
      </c>
      <c r="BR5">
        <v>0</v>
      </c>
      <c r="BS5" t="s">
        <v>12</v>
      </c>
      <c r="BT5" t="b">
        <v>0</v>
      </c>
      <c r="BU5">
        <v>-14.522186</v>
      </c>
      <c r="BV5">
        <v>-0.78755500000000001</v>
      </c>
      <c r="BX5" t="s">
        <v>10</v>
      </c>
      <c r="BY5" t="s">
        <v>11</v>
      </c>
      <c r="BZ5">
        <v>253</v>
      </c>
      <c r="CA5">
        <v>0</v>
      </c>
      <c r="CB5" t="s">
        <v>12</v>
      </c>
      <c r="CC5" t="b">
        <v>0</v>
      </c>
      <c r="CD5">
        <v>-5.0044019999999998</v>
      </c>
      <c r="CE5">
        <v>0</v>
      </c>
      <c r="CF5">
        <f>CD5-H5-I5</f>
        <v>0</v>
      </c>
      <c r="CH5" t="s">
        <v>10</v>
      </c>
      <c r="CI5" t="s">
        <v>11</v>
      </c>
      <c r="CJ5">
        <v>253</v>
      </c>
      <c r="CK5">
        <v>0</v>
      </c>
      <c r="CL5" t="s">
        <v>12</v>
      </c>
      <c r="CM5" t="b">
        <v>0</v>
      </c>
      <c r="CN5">
        <v>-3.7676940000000001</v>
      </c>
      <c r="CO5">
        <v>-0.80589699999999997</v>
      </c>
      <c r="CQ5" t="s">
        <v>10</v>
      </c>
      <c r="CR5" t="s">
        <v>11</v>
      </c>
      <c r="CS5">
        <v>253</v>
      </c>
      <c r="CT5">
        <v>0</v>
      </c>
      <c r="CU5" t="s">
        <v>12</v>
      </c>
      <c r="CV5" t="b">
        <v>0</v>
      </c>
      <c r="CW5">
        <v>-4.227665</v>
      </c>
      <c r="CX5">
        <v>-0.78520199999999996</v>
      </c>
      <c r="CZ5" t="s">
        <v>10</v>
      </c>
      <c r="DA5" t="s">
        <v>11</v>
      </c>
      <c r="DB5">
        <v>253</v>
      </c>
      <c r="DC5">
        <v>0</v>
      </c>
      <c r="DD5" t="s">
        <v>12</v>
      </c>
      <c r="DE5" t="b">
        <v>0</v>
      </c>
      <c r="DF5">
        <v>-3.7238120000000001</v>
      </c>
      <c r="DG5">
        <v>-0.80708899999999995</v>
      </c>
      <c r="DI5" t="s">
        <v>10</v>
      </c>
      <c r="DJ5" t="s">
        <v>11</v>
      </c>
      <c r="DK5">
        <v>253</v>
      </c>
      <c r="DL5">
        <v>0</v>
      </c>
      <c r="DM5" t="s">
        <v>12</v>
      </c>
      <c r="DN5" t="b">
        <v>0</v>
      </c>
      <c r="DO5">
        <v>-4.2168469999999996</v>
      </c>
      <c r="DP5">
        <v>-0.78755500000000001</v>
      </c>
      <c r="DR5" t="s">
        <v>10</v>
      </c>
      <c r="DS5" t="s">
        <v>11</v>
      </c>
      <c r="DT5">
        <v>253</v>
      </c>
      <c r="DU5">
        <v>0</v>
      </c>
      <c r="DV5" t="s">
        <v>12</v>
      </c>
      <c r="DW5" t="b">
        <v>0</v>
      </c>
      <c r="DX5">
        <v>-14.522186</v>
      </c>
      <c r="DY5">
        <v>-0.78755500000000001</v>
      </c>
      <c r="DZ5">
        <v>-15.309733884954433</v>
      </c>
      <c r="EA5" s="8">
        <f>DZ5-DY5-DX5</f>
        <v>7.1150455660529133E-6</v>
      </c>
    </row>
    <row r="6" spans="2:131">
      <c r="B6" t="s">
        <v>10</v>
      </c>
      <c r="C6" t="s">
        <v>11</v>
      </c>
      <c r="D6">
        <v>253</v>
      </c>
      <c r="E6" t="s">
        <v>13</v>
      </c>
      <c r="F6" t="s">
        <v>12</v>
      </c>
      <c r="G6" t="b">
        <v>0</v>
      </c>
      <c r="H6">
        <v>-11.919797000000001</v>
      </c>
      <c r="I6">
        <v>-0.78755500000000001</v>
      </c>
      <c r="J6">
        <v>-12.707361679505683</v>
      </c>
      <c r="K6">
        <f t="shared" ref="K6:K20" si="0">J6-I6-H6</f>
        <v>-9.6795056823140158E-6</v>
      </c>
      <c r="M6" t="s">
        <v>10</v>
      </c>
      <c r="N6" t="s">
        <v>11</v>
      </c>
      <c r="O6">
        <v>253</v>
      </c>
      <c r="P6" t="s">
        <v>13</v>
      </c>
      <c r="Q6" t="s">
        <v>12</v>
      </c>
      <c r="R6" t="b">
        <v>0</v>
      </c>
      <c r="S6">
        <v>-11.919797000000001</v>
      </c>
      <c r="T6">
        <v>-0.78755500000000001</v>
      </c>
      <c r="V6" t="s">
        <v>10</v>
      </c>
      <c r="W6" t="s">
        <v>11</v>
      </c>
      <c r="X6">
        <v>253</v>
      </c>
      <c r="Y6" t="s">
        <v>13</v>
      </c>
      <c r="Z6" t="s">
        <v>12</v>
      </c>
      <c r="AA6" t="b">
        <v>0</v>
      </c>
      <c r="AB6">
        <v>-11.919797000000001</v>
      </c>
      <c r="AC6">
        <v>-0.78755500000000001</v>
      </c>
      <c r="AE6" t="s">
        <v>10</v>
      </c>
      <c r="AF6" t="s">
        <v>11</v>
      </c>
      <c r="AG6">
        <v>253</v>
      </c>
      <c r="AH6" t="s">
        <v>13</v>
      </c>
      <c r="AI6" t="s">
        <v>12</v>
      </c>
      <c r="AJ6" t="b">
        <v>0</v>
      </c>
      <c r="AK6">
        <v>-11.463321000000001</v>
      </c>
      <c r="AL6">
        <v>-0.78665799999999997</v>
      </c>
      <c r="AN6" t="s">
        <v>10</v>
      </c>
      <c r="AO6" t="s">
        <v>11</v>
      </c>
      <c r="AP6">
        <v>253</v>
      </c>
      <c r="AQ6" t="s">
        <v>13</v>
      </c>
      <c r="AR6" t="s">
        <v>12</v>
      </c>
      <c r="AS6" t="b">
        <v>0</v>
      </c>
      <c r="AT6">
        <v>-11.463321000000001</v>
      </c>
      <c r="AU6">
        <v>-0.78665799999999997</v>
      </c>
      <c r="AW6" t="s">
        <v>14</v>
      </c>
      <c r="AX6" t="s">
        <v>11</v>
      </c>
      <c r="AY6">
        <v>269</v>
      </c>
      <c r="AZ6">
        <v>0</v>
      </c>
      <c r="BA6" t="s">
        <v>15</v>
      </c>
      <c r="BB6" t="b">
        <v>0</v>
      </c>
      <c r="BC6">
        <v>-2.4219870000000001</v>
      </c>
      <c r="BD6">
        <v>-0.72196099999999996</v>
      </c>
      <c r="BF6" t="s">
        <v>14</v>
      </c>
      <c r="BG6" t="s">
        <v>11</v>
      </c>
      <c r="BH6">
        <v>269</v>
      </c>
      <c r="BI6">
        <v>0</v>
      </c>
      <c r="BJ6" t="s">
        <v>15</v>
      </c>
      <c r="BK6" t="b">
        <v>0</v>
      </c>
      <c r="BL6">
        <v>-2.4043540000000001</v>
      </c>
      <c r="BM6">
        <v>-0.72196800000000005</v>
      </c>
      <c r="BO6" t="s">
        <v>10</v>
      </c>
      <c r="BP6" t="s">
        <v>11</v>
      </c>
      <c r="BQ6">
        <v>253</v>
      </c>
      <c r="BR6" t="s">
        <v>13</v>
      </c>
      <c r="BS6" t="s">
        <v>12</v>
      </c>
      <c r="BT6" t="b">
        <v>0</v>
      </c>
      <c r="BU6">
        <v>-21.043849000000002</v>
      </c>
      <c r="BV6">
        <v>-0.78755500000000001</v>
      </c>
      <c r="BX6" t="s">
        <v>10</v>
      </c>
      <c r="BY6" t="s">
        <v>11</v>
      </c>
      <c r="BZ6">
        <v>253</v>
      </c>
      <c r="CA6" t="s">
        <v>13</v>
      </c>
      <c r="CB6" t="s">
        <v>12</v>
      </c>
      <c r="CC6" t="b">
        <v>0</v>
      </c>
      <c r="CD6">
        <v>-12.707352</v>
      </c>
      <c r="CE6">
        <v>0</v>
      </c>
      <c r="CF6">
        <f t="shared" ref="CF6:CF39" si="1">CD6-H6-I6</f>
        <v>0</v>
      </c>
      <c r="CH6" t="s">
        <v>14</v>
      </c>
      <c r="CI6" t="s">
        <v>11</v>
      </c>
      <c r="CJ6">
        <v>269</v>
      </c>
      <c r="CK6">
        <v>0</v>
      </c>
      <c r="CL6" t="s">
        <v>15</v>
      </c>
      <c r="CM6" t="b">
        <v>0</v>
      </c>
      <c r="CN6">
        <v>-2.0125440000000001</v>
      </c>
      <c r="CO6">
        <v>-1.1751609999999999</v>
      </c>
      <c r="CQ6" t="s">
        <v>14</v>
      </c>
      <c r="CR6" t="s">
        <v>11</v>
      </c>
      <c r="CS6">
        <v>269</v>
      </c>
      <c r="CT6">
        <v>0</v>
      </c>
      <c r="CU6" t="s">
        <v>15</v>
      </c>
      <c r="CV6" t="b">
        <v>0</v>
      </c>
      <c r="CW6">
        <v>-2.4145699999999999</v>
      </c>
      <c r="CX6">
        <v>-0.72265800000000002</v>
      </c>
      <c r="CZ6" t="s">
        <v>14</v>
      </c>
      <c r="DA6" t="s">
        <v>11</v>
      </c>
      <c r="DB6">
        <v>269</v>
      </c>
      <c r="DC6">
        <v>0</v>
      </c>
      <c r="DD6" t="s">
        <v>15</v>
      </c>
      <c r="DE6" t="b">
        <v>0</v>
      </c>
      <c r="DF6">
        <v>-2.022678</v>
      </c>
      <c r="DG6">
        <v>-1.176579</v>
      </c>
      <c r="DI6" t="s">
        <v>10</v>
      </c>
      <c r="DJ6" t="s">
        <v>11</v>
      </c>
      <c r="DK6">
        <v>253</v>
      </c>
      <c r="DL6" t="s">
        <v>13</v>
      </c>
      <c r="DM6" t="s">
        <v>12</v>
      </c>
      <c r="DN6" t="b">
        <v>0</v>
      </c>
      <c r="DO6">
        <v>-11.919797000000001</v>
      </c>
      <c r="DP6">
        <v>-0.78755500000000001</v>
      </c>
      <c r="DR6" t="s">
        <v>10</v>
      </c>
      <c r="DS6" t="s">
        <v>11</v>
      </c>
      <c r="DT6">
        <v>253</v>
      </c>
      <c r="DU6" t="s">
        <v>13</v>
      </c>
      <c r="DV6" t="s">
        <v>12</v>
      </c>
      <c r="DW6" t="b">
        <v>0</v>
      </c>
      <c r="DX6">
        <v>-21.049685</v>
      </c>
      <c r="DY6">
        <v>-0.78755500000000001</v>
      </c>
      <c r="DZ6">
        <v>-21.837213041022128</v>
      </c>
      <c r="EA6" s="8">
        <f t="shared" ref="EA6:EA38" si="2">DZ6-DY6-DX6</f>
        <v>2.695897787319268E-5</v>
      </c>
    </row>
    <row r="7" spans="2:131">
      <c r="B7" t="s">
        <v>14</v>
      </c>
      <c r="C7" t="s">
        <v>11</v>
      </c>
      <c r="D7">
        <v>269</v>
      </c>
      <c r="E7">
        <v>0</v>
      </c>
      <c r="F7" t="s">
        <v>15</v>
      </c>
      <c r="G7" t="b">
        <v>0</v>
      </c>
      <c r="H7">
        <v>-2.4219870000000001</v>
      </c>
      <c r="I7">
        <v>-0.72196099999999996</v>
      </c>
      <c r="J7">
        <v>-3.1439387481618222</v>
      </c>
      <c r="K7">
        <f t="shared" si="0"/>
        <v>9.2518381777928482E-6</v>
      </c>
      <c r="M7" t="s">
        <v>14</v>
      </c>
      <c r="N7" t="s">
        <v>11</v>
      </c>
      <c r="O7">
        <v>269</v>
      </c>
      <c r="P7">
        <v>0</v>
      </c>
      <c r="Q7" t="s">
        <v>15</v>
      </c>
      <c r="R7" t="b">
        <v>0</v>
      </c>
      <c r="S7">
        <v>-2.4219870000000001</v>
      </c>
      <c r="T7">
        <v>-0.72196099999999996</v>
      </c>
      <c r="V7" t="s">
        <v>14</v>
      </c>
      <c r="W7" t="s">
        <v>11</v>
      </c>
      <c r="X7">
        <v>269</v>
      </c>
      <c r="Y7">
        <v>0</v>
      </c>
      <c r="Z7" t="s">
        <v>15</v>
      </c>
      <c r="AA7" t="b">
        <v>0</v>
      </c>
      <c r="AB7">
        <v>-2.4219870000000001</v>
      </c>
      <c r="AC7">
        <v>-0.72196099999999996</v>
      </c>
      <c r="AE7" t="s">
        <v>14</v>
      </c>
      <c r="AF7" t="s">
        <v>11</v>
      </c>
      <c r="AG7">
        <v>269</v>
      </c>
      <c r="AH7">
        <v>0</v>
      </c>
      <c r="AI7" t="s">
        <v>15</v>
      </c>
      <c r="AJ7" t="b">
        <v>0</v>
      </c>
      <c r="AK7">
        <v>-1.992375</v>
      </c>
      <c r="AL7">
        <v>-0.77182300000000004</v>
      </c>
      <c r="AN7" t="s">
        <v>14</v>
      </c>
      <c r="AO7" t="s">
        <v>11</v>
      </c>
      <c r="AP7">
        <v>269</v>
      </c>
      <c r="AQ7">
        <v>0</v>
      </c>
      <c r="AR7" t="s">
        <v>15</v>
      </c>
      <c r="AS7" t="b">
        <v>0</v>
      </c>
      <c r="AT7">
        <v>-1.992375</v>
      </c>
      <c r="AU7">
        <v>-0.77182300000000004</v>
      </c>
      <c r="AW7" t="s">
        <v>16</v>
      </c>
      <c r="AX7" t="s">
        <v>11</v>
      </c>
      <c r="AY7">
        <v>271</v>
      </c>
      <c r="AZ7" t="s">
        <v>18</v>
      </c>
      <c r="BA7" t="s">
        <v>17</v>
      </c>
      <c r="BB7" t="b">
        <v>0</v>
      </c>
      <c r="BC7">
        <v>-9.1156009999999998</v>
      </c>
      <c r="BD7">
        <v>-0.80905300000000002</v>
      </c>
      <c r="BF7" t="s">
        <v>16</v>
      </c>
      <c r="BG7" t="s">
        <v>11</v>
      </c>
      <c r="BH7">
        <v>271</v>
      </c>
      <c r="BI7" t="s">
        <v>18</v>
      </c>
      <c r="BJ7" t="s">
        <v>17</v>
      </c>
      <c r="BK7" t="b">
        <v>0</v>
      </c>
      <c r="BL7">
        <v>-9.0662160000000007</v>
      </c>
      <c r="BM7">
        <v>-0.81210899999999997</v>
      </c>
      <c r="BO7" t="s">
        <v>14</v>
      </c>
      <c r="BP7" t="s">
        <v>11</v>
      </c>
      <c r="BQ7">
        <v>269</v>
      </c>
      <c r="BR7">
        <v>0</v>
      </c>
      <c r="BS7" t="s">
        <v>15</v>
      </c>
      <c r="BT7" t="b">
        <v>0</v>
      </c>
      <c r="BU7">
        <v>-11.153117999999999</v>
      </c>
      <c r="BV7">
        <v>-0.72196099999999996</v>
      </c>
      <c r="BX7" t="s">
        <v>14</v>
      </c>
      <c r="BY7" t="s">
        <v>11</v>
      </c>
      <c r="BZ7">
        <v>269</v>
      </c>
      <c r="CA7">
        <v>0</v>
      </c>
      <c r="CB7" t="s">
        <v>15</v>
      </c>
      <c r="CC7" t="b">
        <v>0</v>
      </c>
      <c r="CD7">
        <v>-3.1439490000000001</v>
      </c>
      <c r="CE7">
        <v>0</v>
      </c>
      <c r="CF7">
        <f t="shared" si="1"/>
        <v>-1.0000000000287557E-6</v>
      </c>
      <c r="CH7" t="s">
        <v>16</v>
      </c>
      <c r="CI7" t="s">
        <v>11</v>
      </c>
      <c r="CJ7">
        <v>271</v>
      </c>
      <c r="CK7" t="s">
        <v>18</v>
      </c>
      <c r="CL7" t="s">
        <v>17</v>
      </c>
      <c r="CM7" t="b">
        <v>0</v>
      </c>
      <c r="CN7">
        <v>-10.296492000000001</v>
      </c>
      <c r="CO7">
        <v>-1.0238</v>
      </c>
      <c r="CQ7" t="s">
        <v>16</v>
      </c>
      <c r="CR7" t="s">
        <v>11</v>
      </c>
      <c r="CS7">
        <v>271</v>
      </c>
      <c r="CT7" t="s">
        <v>18</v>
      </c>
      <c r="CU7" t="s">
        <v>17</v>
      </c>
      <c r="CV7" t="b">
        <v>0</v>
      </c>
      <c r="CW7">
        <v>-9.1092130000000004</v>
      </c>
      <c r="CX7">
        <v>-0.81338299999999997</v>
      </c>
      <c r="CZ7" t="s">
        <v>16</v>
      </c>
      <c r="DA7" t="s">
        <v>11</v>
      </c>
      <c r="DB7">
        <v>271</v>
      </c>
      <c r="DC7" t="s">
        <v>18</v>
      </c>
      <c r="DD7" t="s">
        <v>17</v>
      </c>
      <c r="DE7" t="b">
        <v>0</v>
      </c>
      <c r="DF7">
        <v>-10.267953</v>
      </c>
      <c r="DG7">
        <v>-1.022432</v>
      </c>
      <c r="DI7" t="s">
        <v>14</v>
      </c>
      <c r="DJ7" t="s">
        <v>11</v>
      </c>
      <c r="DK7">
        <v>269</v>
      </c>
      <c r="DL7">
        <v>0</v>
      </c>
      <c r="DM7" t="s">
        <v>15</v>
      </c>
      <c r="DN7" t="b">
        <v>0</v>
      </c>
      <c r="DO7">
        <v>-2.4219870000000001</v>
      </c>
      <c r="DP7">
        <v>-0.72196099999999996</v>
      </c>
      <c r="DR7" t="s">
        <v>14</v>
      </c>
      <c r="DS7" t="s">
        <v>11</v>
      </c>
      <c r="DT7">
        <v>269</v>
      </c>
      <c r="DU7">
        <v>0</v>
      </c>
      <c r="DV7" t="s">
        <v>15</v>
      </c>
      <c r="DW7" t="b">
        <v>0</v>
      </c>
      <c r="DX7">
        <v>-15.680097999999999</v>
      </c>
      <c r="DY7">
        <v>-0.72196099999999996</v>
      </c>
      <c r="DZ7">
        <v>-16.402064895913782</v>
      </c>
      <c r="EA7" s="8">
        <f t="shared" si="2"/>
        <v>-5.8959137820835394E-6</v>
      </c>
    </row>
    <row r="8" spans="2:131">
      <c r="B8" t="s">
        <v>16</v>
      </c>
      <c r="C8" t="s">
        <v>11</v>
      </c>
      <c r="D8">
        <v>271</v>
      </c>
      <c r="E8">
        <v>0</v>
      </c>
      <c r="F8" t="s">
        <v>17</v>
      </c>
      <c r="G8" t="b">
        <v>0</v>
      </c>
      <c r="H8">
        <v>-4.3446009999999999</v>
      </c>
      <c r="I8">
        <v>-0.80905300000000002</v>
      </c>
      <c r="J8">
        <v>-5.1536585795452874</v>
      </c>
      <c r="K8">
        <f t="shared" si="0"/>
        <v>-4.5795452878749643E-6</v>
      </c>
      <c r="M8" t="s">
        <v>16</v>
      </c>
      <c r="N8" t="s">
        <v>11</v>
      </c>
      <c r="O8">
        <v>271</v>
      </c>
      <c r="P8">
        <v>0</v>
      </c>
      <c r="Q8" t="s">
        <v>17</v>
      </c>
      <c r="R8" t="b">
        <v>0</v>
      </c>
      <c r="S8">
        <v>-4.3446009999999999</v>
      </c>
      <c r="T8">
        <v>-0.80905300000000002</v>
      </c>
      <c r="V8" t="s">
        <v>16</v>
      </c>
      <c r="W8" t="s">
        <v>11</v>
      </c>
      <c r="X8">
        <v>271</v>
      </c>
      <c r="Y8">
        <v>0</v>
      </c>
      <c r="Z8" t="s">
        <v>17</v>
      </c>
      <c r="AA8" t="b">
        <v>0</v>
      </c>
      <c r="AB8">
        <v>-4.3446009999999999</v>
      </c>
      <c r="AC8">
        <v>-0.80905300000000002</v>
      </c>
      <c r="AE8" t="s">
        <v>16</v>
      </c>
      <c r="AF8" t="s">
        <v>11</v>
      </c>
      <c r="AG8">
        <v>271</v>
      </c>
      <c r="AH8">
        <v>0</v>
      </c>
      <c r="AI8" t="s">
        <v>17</v>
      </c>
      <c r="AJ8" t="b">
        <v>0</v>
      </c>
      <c r="AK8">
        <v>-3.847162</v>
      </c>
      <c r="AL8">
        <v>-0.82408199999999998</v>
      </c>
      <c r="AN8" t="s">
        <v>16</v>
      </c>
      <c r="AO8" t="s">
        <v>11</v>
      </c>
      <c r="AP8">
        <v>271</v>
      </c>
      <c r="AQ8">
        <v>0</v>
      </c>
      <c r="AR8" t="s">
        <v>17</v>
      </c>
      <c r="AS8" t="b">
        <v>0</v>
      </c>
      <c r="AT8">
        <v>-3.847162</v>
      </c>
      <c r="AU8">
        <v>-0.82408199999999998</v>
      </c>
      <c r="AW8" t="s">
        <v>19</v>
      </c>
      <c r="AX8" t="s">
        <v>11</v>
      </c>
      <c r="AY8">
        <v>315</v>
      </c>
      <c r="AZ8">
        <v>0</v>
      </c>
      <c r="BA8" t="s">
        <v>20</v>
      </c>
      <c r="BB8" t="b">
        <v>0</v>
      </c>
      <c r="BC8">
        <v>-3.0183789999999999</v>
      </c>
      <c r="BD8">
        <v>-0.74438899999999997</v>
      </c>
      <c r="BF8" t="s">
        <v>19</v>
      </c>
      <c r="BG8" t="s">
        <v>11</v>
      </c>
      <c r="BH8">
        <v>315</v>
      </c>
      <c r="BI8">
        <v>0</v>
      </c>
      <c r="BJ8" t="s">
        <v>20</v>
      </c>
      <c r="BK8" t="b">
        <v>0</v>
      </c>
      <c r="BL8">
        <v>-3.302076</v>
      </c>
      <c r="BM8">
        <v>-0.74389899999999998</v>
      </c>
      <c r="BO8" t="s">
        <v>16</v>
      </c>
      <c r="BP8" t="s">
        <v>11</v>
      </c>
      <c r="BQ8">
        <v>271</v>
      </c>
      <c r="BR8">
        <v>0</v>
      </c>
      <c r="BS8" t="s">
        <v>17</v>
      </c>
      <c r="BT8" t="b">
        <v>0</v>
      </c>
      <c r="BU8">
        <v>-14.046526999999999</v>
      </c>
      <c r="BV8">
        <v>-0.80905300000000002</v>
      </c>
      <c r="BX8" t="s">
        <v>16</v>
      </c>
      <c r="BY8" t="s">
        <v>11</v>
      </c>
      <c r="BZ8">
        <v>271</v>
      </c>
      <c r="CA8">
        <v>0</v>
      </c>
      <c r="CB8" t="s">
        <v>17</v>
      </c>
      <c r="CC8" t="b">
        <v>0</v>
      </c>
      <c r="CD8">
        <v>-5.1536549999999997</v>
      </c>
      <c r="CE8">
        <v>0</v>
      </c>
      <c r="CF8">
        <f t="shared" si="1"/>
        <v>-9.9999999969568876E-7</v>
      </c>
      <c r="CH8" t="s">
        <v>19</v>
      </c>
      <c r="CI8" t="s">
        <v>11</v>
      </c>
      <c r="CJ8">
        <v>315</v>
      </c>
      <c r="CK8">
        <v>0</v>
      </c>
      <c r="CL8" t="s">
        <v>20</v>
      </c>
      <c r="CM8" t="b">
        <v>0</v>
      </c>
      <c r="CN8">
        <v>1.429478</v>
      </c>
      <c r="CO8">
        <v>-0.964588</v>
      </c>
      <c r="CQ8" t="s">
        <v>19</v>
      </c>
      <c r="CR8" t="s">
        <v>11</v>
      </c>
      <c r="CS8">
        <v>315</v>
      </c>
      <c r="CT8">
        <v>0</v>
      </c>
      <c r="CU8" t="s">
        <v>20</v>
      </c>
      <c r="CV8" t="b">
        <v>0</v>
      </c>
      <c r="CW8">
        <v>-3.0004439999999999</v>
      </c>
      <c r="CX8">
        <v>-0.74414400000000003</v>
      </c>
      <c r="CZ8" t="s">
        <v>19</v>
      </c>
      <c r="DA8" t="s">
        <v>11</v>
      </c>
      <c r="DB8">
        <v>315</v>
      </c>
      <c r="DC8">
        <v>0</v>
      </c>
      <c r="DD8" t="s">
        <v>20</v>
      </c>
      <c r="DE8" t="b">
        <v>0</v>
      </c>
      <c r="DF8">
        <v>-0.14608499999999999</v>
      </c>
      <c r="DG8">
        <v>-0.96588099999999999</v>
      </c>
      <c r="DI8" t="s">
        <v>16</v>
      </c>
      <c r="DJ8" t="s">
        <v>11</v>
      </c>
      <c r="DK8">
        <v>271</v>
      </c>
      <c r="DL8">
        <v>0</v>
      </c>
      <c r="DM8" t="s">
        <v>17</v>
      </c>
      <c r="DN8" t="b">
        <v>0</v>
      </c>
      <c r="DO8">
        <v>-4.3446009999999999</v>
      </c>
      <c r="DP8">
        <v>-0.80905300000000002</v>
      </c>
      <c r="DR8" t="s">
        <v>16</v>
      </c>
      <c r="DS8" t="s">
        <v>11</v>
      </c>
      <c r="DT8">
        <v>271</v>
      </c>
      <c r="DU8">
        <v>0</v>
      </c>
      <c r="DV8" t="s">
        <v>17</v>
      </c>
      <c r="DW8" t="b">
        <v>0</v>
      </c>
      <c r="DX8">
        <v>-14.046526999999999</v>
      </c>
      <c r="DY8">
        <v>-0.80905300000000002</v>
      </c>
      <c r="DZ8">
        <v>-14.855575077989588</v>
      </c>
      <c r="EA8" s="8">
        <f t="shared" si="2"/>
        <v>4.9220104116898256E-6</v>
      </c>
    </row>
    <row r="9" spans="2:131">
      <c r="B9" t="s">
        <v>16</v>
      </c>
      <c r="C9" t="s">
        <v>11</v>
      </c>
      <c r="D9">
        <v>271</v>
      </c>
      <c r="E9" t="s">
        <v>18</v>
      </c>
      <c r="F9" t="s">
        <v>17</v>
      </c>
      <c r="G9" t="b">
        <v>0</v>
      </c>
      <c r="H9">
        <v>-9.1156009999999998</v>
      </c>
      <c r="I9">
        <v>-0.80905300000000002</v>
      </c>
      <c r="J9">
        <v>-9.9246077066566034</v>
      </c>
      <c r="K9">
        <f t="shared" si="0"/>
        <v>4.6293343396897058E-5</v>
      </c>
      <c r="M9" t="s">
        <v>16</v>
      </c>
      <c r="N9" t="s">
        <v>11</v>
      </c>
      <c r="O9">
        <v>271</v>
      </c>
      <c r="P9" t="s">
        <v>18</v>
      </c>
      <c r="Q9" t="s">
        <v>17</v>
      </c>
      <c r="R9" t="b">
        <v>0</v>
      </c>
      <c r="S9">
        <v>-9.1156009999999998</v>
      </c>
      <c r="T9">
        <v>-0.80905300000000002</v>
      </c>
      <c r="V9" t="s">
        <v>16</v>
      </c>
      <c r="W9" t="s">
        <v>11</v>
      </c>
      <c r="X9">
        <v>271</v>
      </c>
      <c r="Y9" t="s">
        <v>18</v>
      </c>
      <c r="Z9" t="s">
        <v>17</v>
      </c>
      <c r="AA9" t="b">
        <v>0</v>
      </c>
      <c r="AB9">
        <v>-9.1156009999999998</v>
      </c>
      <c r="AC9">
        <v>-0.80905300000000002</v>
      </c>
      <c r="AE9" t="s">
        <v>16</v>
      </c>
      <c r="AF9" t="s">
        <v>11</v>
      </c>
      <c r="AG9">
        <v>271</v>
      </c>
      <c r="AH9" t="s">
        <v>18</v>
      </c>
      <c r="AI9" t="s">
        <v>17</v>
      </c>
      <c r="AJ9" t="b">
        <v>0</v>
      </c>
      <c r="AK9">
        <v>-8.5649490000000004</v>
      </c>
      <c r="AL9">
        <v>-0.82408199999999998</v>
      </c>
      <c r="AN9" t="s">
        <v>16</v>
      </c>
      <c r="AO9" t="s">
        <v>11</v>
      </c>
      <c r="AP9">
        <v>271</v>
      </c>
      <c r="AQ9" t="s">
        <v>18</v>
      </c>
      <c r="AR9" t="s">
        <v>17</v>
      </c>
      <c r="AS9" t="b">
        <v>0</v>
      </c>
      <c r="AT9">
        <v>-8.5649490000000004</v>
      </c>
      <c r="AU9">
        <v>-0.82408199999999998</v>
      </c>
      <c r="AW9" t="s">
        <v>21</v>
      </c>
      <c r="AX9" t="s">
        <v>11</v>
      </c>
      <c r="AY9">
        <v>316</v>
      </c>
      <c r="AZ9" t="s">
        <v>13</v>
      </c>
      <c r="BA9" t="s">
        <v>22</v>
      </c>
      <c r="BB9" t="b">
        <v>0</v>
      </c>
      <c r="BC9">
        <v>-4.5413629999999996</v>
      </c>
      <c r="BD9">
        <v>-0.460955</v>
      </c>
      <c r="BF9" t="s">
        <v>21</v>
      </c>
      <c r="BG9" t="s">
        <v>11</v>
      </c>
      <c r="BH9">
        <v>316</v>
      </c>
      <c r="BI9" t="s">
        <v>13</v>
      </c>
      <c r="BJ9" t="s">
        <v>22</v>
      </c>
      <c r="BK9" t="b">
        <v>0</v>
      </c>
      <c r="BL9">
        <v>-4.5459820000000004</v>
      </c>
      <c r="BM9">
        <v>-0.46108700000000002</v>
      </c>
      <c r="BO9" t="s">
        <v>16</v>
      </c>
      <c r="BP9" t="s">
        <v>11</v>
      </c>
      <c r="BQ9">
        <v>271</v>
      </c>
      <c r="BR9" t="s">
        <v>18</v>
      </c>
      <c r="BS9" t="s">
        <v>17</v>
      </c>
      <c r="BT9" t="b">
        <v>0</v>
      </c>
      <c r="BU9">
        <v>-22.718879999999999</v>
      </c>
      <c r="BV9">
        <v>-0.80905300000000002</v>
      </c>
      <c r="BX9" t="s">
        <v>16</v>
      </c>
      <c r="BY9" t="s">
        <v>11</v>
      </c>
      <c r="BZ9">
        <v>271</v>
      </c>
      <c r="CA9" t="s">
        <v>18</v>
      </c>
      <c r="CB9" t="s">
        <v>17</v>
      </c>
      <c r="CC9" t="b">
        <v>0</v>
      </c>
      <c r="CD9">
        <v>-9.9246540000000003</v>
      </c>
      <c r="CE9">
        <v>0</v>
      </c>
      <c r="CF9">
        <f t="shared" si="1"/>
        <v>0</v>
      </c>
      <c r="CH9" t="s">
        <v>21</v>
      </c>
      <c r="CI9" t="s">
        <v>11</v>
      </c>
      <c r="CJ9">
        <v>316</v>
      </c>
      <c r="CK9" t="s">
        <v>13</v>
      </c>
      <c r="CL9" t="s">
        <v>22</v>
      </c>
      <c r="CM9" t="b">
        <v>0</v>
      </c>
      <c r="CN9">
        <v>3.7259690000000001</v>
      </c>
      <c r="CO9">
        <v>-1.0019180000000001</v>
      </c>
      <c r="CQ9" t="s">
        <v>21</v>
      </c>
      <c r="CR9" t="s">
        <v>11</v>
      </c>
      <c r="CS9">
        <v>316</v>
      </c>
      <c r="CT9" t="s">
        <v>13</v>
      </c>
      <c r="CU9" t="s">
        <v>22</v>
      </c>
      <c r="CV9" t="b">
        <v>0</v>
      </c>
      <c r="CW9">
        <v>-4.527018</v>
      </c>
      <c r="CX9">
        <v>-0.46211000000000002</v>
      </c>
      <c r="CZ9" t="s">
        <v>21</v>
      </c>
      <c r="DA9" t="s">
        <v>11</v>
      </c>
      <c r="DB9">
        <v>316</v>
      </c>
      <c r="DC9" t="s">
        <v>13</v>
      </c>
      <c r="DD9" t="s">
        <v>22</v>
      </c>
      <c r="DE9" t="b">
        <v>0</v>
      </c>
      <c r="DF9">
        <v>3.704383</v>
      </c>
      <c r="DG9">
        <v>-1.0032239999999999</v>
      </c>
      <c r="DI9" t="s">
        <v>16</v>
      </c>
      <c r="DJ9" t="s">
        <v>11</v>
      </c>
      <c r="DK9">
        <v>271</v>
      </c>
      <c r="DL9" t="s">
        <v>18</v>
      </c>
      <c r="DM9" t="s">
        <v>17</v>
      </c>
      <c r="DN9" t="b">
        <v>0</v>
      </c>
      <c r="DO9">
        <v>-9.1156009999999998</v>
      </c>
      <c r="DP9">
        <v>-0.80905300000000002</v>
      </c>
      <c r="DR9" t="s">
        <v>16</v>
      </c>
      <c r="DS9" t="s">
        <v>11</v>
      </c>
      <c r="DT9">
        <v>271</v>
      </c>
      <c r="DU9" t="s">
        <v>18</v>
      </c>
      <c r="DV9" t="s">
        <v>17</v>
      </c>
      <c r="DW9" t="b">
        <v>0</v>
      </c>
      <c r="DX9">
        <v>-22.651610999999999</v>
      </c>
      <c r="DY9">
        <v>-0.80905300000000002</v>
      </c>
      <c r="DZ9">
        <v>-23.460579814040369</v>
      </c>
      <c r="EA9" s="8">
        <f t="shared" si="2"/>
        <v>8.4185959629223817E-5</v>
      </c>
    </row>
    <row r="10" spans="2:131">
      <c r="B10" t="s">
        <v>19</v>
      </c>
      <c r="C10" t="s">
        <v>11</v>
      </c>
      <c r="D10">
        <v>315</v>
      </c>
      <c r="E10">
        <v>0</v>
      </c>
      <c r="F10" t="s">
        <v>20</v>
      </c>
      <c r="G10" t="b">
        <v>0</v>
      </c>
      <c r="H10">
        <v>-3.0183789999999999</v>
      </c>
      <c r="I10">
        <v>-0.74438899999999997</v>
      </c>
      <c r="J10">
        <v>-3.7627885491583677</v>
      </c>
      <c r="K10">
        <f t="shared" si="0"/>
        <v>-2.0549158367799691E-5</v>
      </c>
      <c r="M10" t="s">
        <v>19</v>
      </c>
      <c r="N10" t="s">
        <v>11</v>
      </c>
      <c r="O10">
        <v>315</v>
      </c>
      <c r="P10">
        <v>0</v>
      </c>
      <c r="Q10" t="s">
        <v>20</v>
      </c>
      <c r="R10" t="b">
        <v>0</v>
      </c>
      <c r="S10">
        <v>-3.0183789999999999</v>
      </c>
      <c r="T10">
        <v>-0.74438899999999997</v>
      </c>
      <c r="V10" t="s">
        <v>19</v>
      </c>
      <c r="W10" t="s">
        <v>11</v>
      </c>
      <c r="X10">
        <v>315</v>
      </c>
      <c r="Y10">
        <v>0</v>
      </c>
      <c r="Z10" t="s">
        <v>20</v>
      </c>
      <c r="AA10" t="b">
        <v>0</v>
      </c>
      <c r="AB10">
        <v>-3.0183789999999999</v>
      </c>
      <c r="AC10">
        <v>-0.74438899999999997</v>
      </c>
      <c r="AE10" t="s">
        <v>19</v>
      </c>
      <c r="AF10" t="s">
        <v>11</v>
      </c>
      <c r="AG10">
        <v>315</v>
      </c>
      <c r="AH10">
        <v>0</v>
      </c>
      <c r="AI10" t="s">
        <v>20</v>
      </c>
      <c r="AJ10" t="b">
        <v>0</v>
      </c>
      <c r="AK10">
        <v>-2.4220000000000002</v>
      </c>
      <c r="AL10">
        <v>-0.75061299999999997</v>
      </c>
      <c r="AN10" t="s">
        <v>19</v>
      </c>
      <c r="AO10" t="s">
        <v>11</v>
      </c>
      <c r="AP10">
        <v>315</v>
      </c>
      <c r="AQ10">
        <v>0</v>
      </c>
      <c r="AR10" t="s">
        <v>20</v>
      </c>
      <c r="AS10" t="b">
        <v>0</v>
      </c>
      <c r="AT10">
        <v>-2.4220630000000001</v>
      </c>
      <c r="AU10">
        <v>-0.75061299999999997</v>
      </c>
      <c r="AW10" t="s">
        <v>23</v>
      </c>
      <c r="AX10" t="s">
        <v>11</v>
      </c>
      <c r="AY10">
        <v>317</v>
      </c>
      <c r="AZ10">
        <v>0</v>
      </c>
      <c r="BA10" t="s">
        <v>24</v>
      </c>
      <c r="BB10" t="b">
        <v>0</v>
      </c>
      <c r="BC10">
        <v>-6.0900379999999998</v>
      </c>
      <c r="BD10">
        <v>-3.5543200000000001</v>
      </c>
      <c r="BF10" t="s">
        <v>23</v>
      </c>
      <c r="BG10" t="s">
        <v>11</v>
      </c>
      <c r="BH10">
        <v>317</v>
      </c>
      <c r="BI10">
        <v>0</v>
      </c>
      <c r="BJ10" t="s">
        <v>24</v>
      </c>
      <c r="BK10" t="b">
        <v>0</v>
      </c>
      <c r="BL10">
        <v>-6.0777200000000002</v>
      </c>
      <c r="BM10">
        <v>-3.5633810000000001</v>
      </c>
      <c r="BO10" t="s">
        <v>19</v>
      </c>
      <c r="BP10" t="s">
        <v>11</v>
      </c>
      <c r="BQ10">
        <v>315</v>
      </c>
      <c r="BR10">
        <v>0</v>
      </c>
      <c r="BS10" t="s">
        <v>20</v>
      </c>
      <c r="BT10" t="b">
        <v>0</v>
      </c>
      <c r="BU10">
        <v>-11.064244</v>
      </c>
      <c r="BV10">
        <v>-0.74438899999999997</v>
      </c>
      <c r="BX10" t="s">
        <v>19</v>
      </c>
      <c r="BY10" t="s">
        <v>11</v>
      </c>
      <c r="BZ10">
        <v>315</v>
      </c>
      <c r="CA10">
        <v>0</v>
      </c>
      <c r="CB10" t="s">
        <v>20</v>
      </c>
      <c r="CC10" t="b">
        <v>0</v>
      </c>
      <c r="CD10">
        <v>-3.7627670000000002</v>
      </c>
      <c r="CE10">
        <v>0</v>
      </c>
      <c r="CF10">
        <f t="shared" si="1"/>
        <v>9.9999999969568876E-7</v>
      </c>
      <c r="CH10" t="s">
        <v>23</v>
      </c>
      <c r="CI10" t="s">
        <v>11</v>
      </c>
      <c r="CJ10">
        <v>317</v>
      </c>
      <c r="CK10">
        <v>0</v>
      </c>
      <c r="CL10" t="s">
        <v>24</v>
      </c>
      <c r="CM10" t="b">
        <v>0</v>
      </c>
      <c r="CN10">
        <v>-5.3632249999999999</v>
      </c>
      <c r="CO10">
        <v>3.7076790000000002</v>
      </c>
      <c r="CQ10" t="s">
        <v>23</v>
      </c>
      <c r="CR10" t="s">
        <v>11</v>
      </c>
      <c r="CS10">
        <v>317</v>
      </c>
      <c r="CT10">
        <v>0</v>
      </c>
      <c r="CU10" t="s">
        <v>24</v>
      </c>
      <c r="CV10" t="b">
        <v>0</v>
      </c>
      <c r="CW10">
        <v>-6.0968280000000004</v>
      </c>
      <c r="CX10">
        <v>-3.5416629999999998</v>
      </c>
      <c r="CZ10" t="s">
        <v>23</v>
      </c>
      <c r="DA10" t="s">
        <v>11</v>
      </c>
      <c r="DB10">
        <v>317</v>
      </c>
      <c r="DC10">
        <v>0</v>
      </c>
      <c r="DD10" t="s">
        <v>24</v>
      </c>
      <c r="DE10" t="b">
        <v>0</v>
      </c>
      <c r="DF10">
        <v>-5.326943</v>
      </c>
      <c r="DG10">
        <v>3.6941440000000001</v>
      </c>
      <c r="DI10" t="s">
        <v>19</v>
      </c>
      <c r="DJ10" t="s">
        <v>11</v>
      </c>
      <c r="DK10">
        <v>315</v>
      </c>
      <c r="DL10">
        <v>0</v>
      </c>
      <c r="DM10" t="s">
        <v>20</v>
      </c>
      <c r="DN10" t="b">
        <v>0</v>
      </c>
      <c r="DO10">
        <v>-3.0183789999999999</v>
      </c>
      <c r="DP10">
        <v>-0.74438899999999997</v>
      </c>
      <c r="DR10" t="s">
        <v>19</v>
      </c>
      <c r="DS10" t="s">
        <v>11</v>
      </c>
      <c r="DT10">
        <v>315</v>
      </c>
      <c r="DU10">
        <v>0</v>
      </c>
      <c r="DV10" t="s">
        <v>20</v>
      </c>
      <c r="DW10" t="b">
        <v>0</v>
      </c>
      <c r="DX10">
        <v>-10.820708</v>
      </c>
      <c r="DY10">
        <v>-0.74438899999999997</v>
      </c>
      <c r="DZ10">
        <v>-11.565103622305838</v>
      </c>
      <c r="EA10" s="8">
        <f t="shared" si="2"/>
        <v>-6.6223058379222266E-6</v>
      </c>
    </row>
    <row r="11" spans="2:131">
      <c r="B11" t="s">
        <v>21</v>
      </c>
      <c r="C11" t="s">
        <v>11</v>
      </c>
      <c r="D11">
        <v>316</v>
      </c>
      <c r="E11">
        <v>0</v>
      </c>
      <c r="F11" t="s">
        <v>22</v>
      </c>
      <c r="G11" t="b">
        <v>0</v>
      </c>
      <c r="H11">
        <v>-5.0242380000000004</v>
      </c>
      <c r="I11">
        <v>-0.460955</v>
      </c>
      <c r="J11">
        <v>-5.4851559780760928</v>
      </c>
      <c r="K11">
        <f t="shared" si="0"/>
        <v>3.7021923907865073E-5</v>
      </c>
      <c r="M11" t="s">
        <v>21</v>
      </c>
      <c r="N11" t="s">
        <v>11</v>
      </c>
      <c r="O11">
        <v>316</v>
      </c>
      <c r="P11">
        <v>0</v>
      </c>
      <c r="Q11" t="s">
        <v>22</v>
      </c>
      <c r="R11" t="b">
        <v>0</v>
      </c>
      <c r="S11">
        <v>-5.0242380000000004</v>
      </c>
      <c r="T11">
        <v>-0.460955</v>
      </c>
      <c r="V11" t="s">
        <v>21</v>
      </c>
      <c r="W11" t="s">
        <v>11</v>
      </c>
      <c r="X11">
        <v>316</v>
      </c>
      <c r="Y11">
        <v>0</v>
      </c>
      <c r="Z11" t="s">
        <v>22</v>
      </c>
      <c r="AA11" t="b">
        <v>0</v>
      </c>
      <c r="AB11">
        <v>-5.0242380000000004</v>
      </c>
      <c r="AC11">
        <v>-0.460955</v>
      </c>
      <c r="AE11" t="s">
        <v>21</v>
      </c>
      <c r="AF11" t="s">
        <v>11</v>
      </c>
      <c r="AG11">
        <v>316</v>
      </c>
      <c r="AH11">
        <v>0</v>
      </c>
      <c r="AI11" t="s">
        <v>22</v>
      </c>
      <c r="AJ11" t="b">
        <v>0</v>
      </c>
      <c r="AK11">
        <v>-4.1681520000000001</v>
      </c>
      <c r="AL11">
        <v>-0.47149099999999999</v>
      </c>
      <c r="AN11" t="s">
        <v>21</v>
      </c>
      <c r="AO11" t="s">
        <v>11</v>
      </c>
      <c r="AP11">
        <v>316</v>
      </c>
      <c r="AQ11">
        <v>0</v>
      </c>
      <c r="AR11" t="s">
        <v>22</v>
      </c>
      <c r="AS11" t="b">
        <v>0</v>
      </c>
      <c r="AT11">
        <v>-4.1681520000000001</v>
      </c>
      <c r="AU11">
        <v>-0.47149099999999999</v>
      </c>
      <c r="AW11" t="s">
        <v>25</v>
      </c>
      <c r="AX11" t="s">
        <v>11</v>
      </c>
      <c r="AY11">
        <v>318</v>
      </c>
      <c r="AZ11">
        <v>0</v>
      </c>
      <c r="BA11" t="s">
        <v>26</v>
      </c>
      <c r="BB11" t="b">
        <v>0</v>
      </c>
      <c r="BC11">
        <v>-6.8570929999999999</v>
      </c>
      <c r="BD11">
        <v>-1.420417</v>
      </c>
      <c r="BF11" t="s">
        <v>25</v>
      </c>
      <c r="BG11" t="s">
        <v>11</v>
      </c>
      <c r="BH11">
        <v>318</v>
      </c>
      <c r="BI11">
        <v>0</v>
      </c>
      <c r="BJ11" t="s">
        <v>26</v>
      </c>
      <c r="BK11" t="b">
        <v>0</v>
      </c>
      <c r="BL11">
        <v>-6.8342770000000002</v>
      </c>
      <c r="BM11">
        <v>-1.419068</v>
      </c>
      <c r="BO11" t="s">
        <v>21</v>
      </c>
      <c r="BP11" t="s">
        <v>11</v>
      </c>
      <c r="BQ11">
        <v>316</v>
      </c>
      <c r="BR11">
        <v>0</v>
      </c>
      <c r="BS11" t="s">
        <v>22</v>
      </c>
      <c r="BT11" t="b">
        <v>0</v>
      </c>
      <c r="BU11">
        <v>-10.711797000000001</v>
      </c>
      <c r="BV11">
        <v>-0.460955</v>
      </c>
      <c r="BX11" t="s">
        <v>21</v>
      </c>
      <c r="BY11" t="s">
        <v>11</v>
      </c>
      <c r="BZ11">
        <v>316</v>
      </c>
      <c r="CA11">
        <v>0</v>
      </c>
      <c r="CB11" t="s">
        <v>22</v>
      </c>
      <c r="CC11" t="b">
        <v>0</v>
      </c>
      <c r="CD11">
        <v>-5.4851929999999998</v>
      </c>
      <c r="CE11">
        <v>0</v>
      </c>
      <c r="CF11">
        <f t="shared" si="1"/>
        <v>6.6613381477509392E-16</v>
      </c>
      <c r="CH11" t="s">
        <v>25</v>
      </c>
      <c r="CI11" t="s">
        <v>11</v>
      </c>
      <c r="CJ11">
        <v>318</v>
      </c>
      <c r="CK11">
        <v>0</v>
      </c>
      <c r="CL11" t="s">
        <v>26</v>
      </c>
      <c r="CM11" t="b">
        <v>0</v>
      </c>
      <c r="CN11">
        <v>-10.90817</v>
      </c>
      <c r="CO11">
        <v>-2.4506619999999999</v>
      </c>
      <c r="CQ11" t="s">
        <v>25</v>
      </c>
      <c r="CR11" t="s">
        <v>11</v>
      </c>
      <c r="CS11">
        <v>318</v>
      </c>
      <c r="CT11">
        <v>0</v>
      </c>
      <c r="CU11" t="s">
        <v>26</v>
      </c>
      <c r="CV11" t="b">
        <v>0</v>
      </c>
      <c r="CW11">
        <v>-6.8483020000000003</v>
      </c>
      <c r="CX11">
        <v>-1.423392</v>
      </c>
      <c r="CZ11" t="s">
        <v>25</v>
      </c>
      <c r="DA11" t="s">
        <v>11</v>
      </c>
      <c r="DB11">
        <v>318</v>
      </c>
      <c r="DC11">
        <v>0</v>
      </c>
      <c r="DD11" t="s">
        <v>26</v>
      </c>
      <c r="DE11" t="b">
        <v>0</v>
      </c>
      <c r="DF11">
        <v>-10.898688</v>
      </c>
      <c r="DG11">
        <v>-2.4469349999999999</v>
      </c>
      <c r="DI11" t="s">
        <v>21</v>
      </c>
      <c r="DJ11" t="s">
        <v>11</v>
      </c>
      <c r="DK11">
        <v>316</v>
      </c>
      <c r="DL11">
        <v>0</v>
      </c>
      <c r="DM11" t="s">
        <v>22</v>
      </c>
      <c r="DN11" t="b">
        <v>0</v>
      </c>
      <c r="DO11">
        <v>-5.0242380000000004</v>
      </c>
      <c r="DP11">
        <v>-0.460955</v>
      </c>
      <c r="DR11" t="s">
        <v>21</v>
      </c>
      <c r="DS11" t="s">
        <v>11</v>
      </c>
      <c r="DT11">
        <v>316</v>
      </c>
      <c r="DU11">
        <v>0</v>
      </c>
      <c r="DV11" t="s">
        <v>22</v>
      </c>
      <c r="DW11" t="b">
        <v>0</v>
      </c>
      <c r="DX11">
        <v>-10.711797000000001</v>
      </c>
      <c r="DY11">
        <v>-0.460955</v>
      </c>
      <c r="DZ11">
        <v>-11.172765591094731</v>
      </c>
      <c r="EA11" s="8">
        <f t="shared" si="2"/>
        <v>-1.3591094729648034E-5</v>
      </c>
    </row>
    <row r="12" spans="2:131">
      <c r="B12" t="s">
        <v>21</v>
      </c>
      <c r="C12" t="s">
        <v>11</v>
      </c>
      <c r="D12">
        <v>316</v>
      </c>
      <c r="E12" t="s">
        <v>13</v>
      </c>
      <c r="F12" t="s">
        <v>22</v>
      </c>
      <c r="G12" t="b">
        <v>0</v>
      </c>
      <c r="H12">
        <v>-4.5413629999999996</v>
      </c>
      <c r="I12">
        <v>-0.460955</v>
      </c>
      <c r="J12">
        <v>-5.0022883848394022</v>
      </c>
      <c r="K12">
        <f t="shared" si="0"/>
        <v>2.9615160597629142E-5</v>
      </c>
      <c r="M12" t="s">
        <v>21</v>
      </c>
      <c r="N12" t="s">
        <v>11</v>
      </c>
      <c r="O12">
        <v>316</v>
      </c>
      <c r="P12" t="s">
        <v>13</v>
      </c>
      <c r="Q12" t="s">
        <v>22</v>
      </c>
      <c r="R12" t="b">
        <v>0</v>
      </c>
      <c r="S12">
        <v>-4.5413629999999996</v>
      </c>
      <c r="T12">
        <v>-0.460955</v>
      </c>
      <c r="V12" t="s">
        <v>21</v>
      </c>
      <c r="W12" t="s">
        <v>11</v>
      </c>
      <c r="X12">
        <v>316</v>
      </c>
      <c r="Y12" t="s">
        <v>13</v>
      </c>
      <c r="Z12" t="s">
        <v>22</v>
      </c>
      <c r="AA12" t="b">
        <v>0</v>
      </c>
      <c r="AB12">
        <v>-4.5413629999999996</v>
      </c>
      <c r="AC12">
        <v>-0.460955</v>
      </c>
      <c r="AE12" t="s">
        <v>21</v>
      </c>
      <c r="AF12" t="s">
        <v>11</v>
      </c>
      <c r="AG12">
        <v>316</v>
      </c>
      <c r="AH12" t="s">
        <v>13</v>
      </c>
      <c r="AI12" t="s">
        <v>22</v>
      </c>
      <c r="AJ12" t="b">
        <v>0</v>
      </c>
      <c r="AK12">
        <v>-3.6318760000000001</v>
      </c>
      <c r="AL12">
        <v>-0.47149099999999999</v>
      </c>
      <c r="AN12" t="s">
        <v>21</v>
      </c>
      <c r="AO12" t="s">
        <v>11</v>
      </c>
      <c r="AP12">
        <v>316</v>
      </c>
      <c r="AQ12" t="s">
        <v>13</v>
      </c>
      <c r="AR12" t="s">
        <v>22</v>
      </c>
      <c r="AS12" t="b">
        <v>0</v>
      </c>
      <c r="AT12">
        <v>-3.6318760000000001</v>
      </c>
      <c r="AU12">
        <v>-0.47149099999999999</v>
      </c>
      <c r="AW12" t="s">
        <v>27</v>
      </c>
      <c r="AX12" t="s">
        <v>11</v>
      </c>
      <c r="AY12">
        <v>321</v>
      </c>
      <c r="AZ12">
        <v>0</v>
      </c>
      <c r="BA12" t="s">
        <v>28</v>
      </c>
      <c r="BB12" t="b">
        <v>0</v>
      </c>
      <c r="BC12">
        <v>-2.3329309999999999</v>
      </c>
      <c r="BD12">
        <v>-1.2482850000000001</v>
      </c>
      <c r="BF12" t="s">
        <v>27</v>
      </c>
      <c r="BG12" t="s">
        <v>11</v>
      </c>
      <c r="BH12">
        <v>321</v>
      </c>
      <c r="BI12">
        <v>0</v>
      </c>
      <c r="BJ12" t="s">
        <v>28</v>
      </c>
      <c r="BK12" t="b">
        <v>0</v>
      </c>
      <c r="BL12">
        <v>-2.3352650000000001</v>
      </c>
      <c r="BM12">
        <v>-1.247093</v>
      </c>
      <c r="BO12" t="s">
        <v>21</v>
      </c>
      <c r="BP12" t="s">
        <v>11</v>
      </c>
      <c r="BQ12">
        <v>316</v>
      </c>
      <c r="BR12" t="s">
        <v>13</v>
      </c>
      <c r="BS12" t="s">
        <v>22</v>
      </c>
      <c r="BT12" t="b">
        <v>0</v>
      </c>
      <c r="BU12">
        <v>-12.525857999999999</v>
      </c>
      <c r="BV12">
        <v>-0.460955</v>
      </c>
      <c r="BX12" t="s">
        <v>21</v>
      </c>
      <c r="BY12" t="s">
        <v>11</v>
      </c>
      <c r="BZ12">
        <v>316</v>
      </c>
      <c r="CA12" t="s">
        <v>13</v>
      </c>
      <c r="CB12" t="s">
        <v>22</v>
      </c>
      <c r="CC12" t="b">
        <v>0</v>
      </c>
      <c r="CD12">
        <v>-5.0023179999999998</v>
      </c>
      <c r="CE12">
        <v>0</v>
      </c>
      <c r="CF12">
        <f t="shared" si="1"/>
        <v>0</v>
      </c>
      <c r="CH12" t="s">
        <v>27</v>
      </c>
      <c r="CI12" t="s">
        <v>11</v>
      </c>
      <c r="CJ12">
        <v>321</v>
      </c>
      <c r="CK12">
        <v>0</v>
      </c>
      <c r="CL12" t="s">
        <v>28</v>
      </c>
      <c r="CM12" t="b">
        <v>0</v>
      </c>
      <c r="CN12">
        <v>-2.7219120000000001</v>
      </c>
      <c r="CO12">
        <v>-1.4673929999999999</v>
      </c>
      <c r="CQ12" t="s">
        <v>27</v>
      </c>
      <c r="CR12" t="s">
        <v>11</v>
      </c>
      <c r="CS12">
        <v>321</v>
      </c>
      <c r="CT12">
        <v>0</v>
      </c>
      <c r="CU12" t="s">
        <v>28</v>
      </c>
      <c r="CV12" t="b">
        <v>0</v>
      </c>
      <c r="CW12">
        <v>-2.334876</v>
      </c>
      <c r="CX12">
        <v>-1.2473190000000001</v>
      </c>
      <c r="CZ12" t="s">
        <v>27</v>
      </c>
      <c r="DA12" t="s">
        <v>11</v>
      </c>
      <c r="DB12">
        <v>321</v>
      </c>
      <c r="DC12">
        <v>0</v>
      </c>
      <c r="DD12" t="s">
        <v>28</v>
      </c>
      <c r="DE12" t="b">
        <v>0</v>
      </c>
      <c r="DF12">
        <v>-2.7132580000000002</v>
      </c>
      <c r="DG12">
        <v>-1.4680260000000001</v>
      </c>
      <c r="DI12" t="s">
        <v>21</v>
      </c>
      <c r="DJ12" t="s">
        <v>11</v>
      </c>
      <c r="DK12">
        <v>316</v>
      </c>
      <c r="DL12" t="s">
        <v>13</v>
      </c>
      <c r="DM12" t="s">
        <v>22</v>
      </c>
      <c r="DN12" t="b">
        <v>0</v>
      </c>
      <c r="DO12">
        <v>-4.5413629999999996</v>
      </c>
      <c r="DP12">
        <v>-0.460955</v>
      </c>
      <c r="DR12" t="s">
        <v>21</v>
      </c>
      <c r="DS12" t="s">
        <v>11</v>
      </c>
      <c r="DT12">
        <v>316</v>
      </c>
      <c r="DU12" t="s">
        <v>13</v>
      </c>
      <c r="DV12" t="s">
        <v>22</v>
      </c>
      <c r="DW12" t="b">
        <v>0</v>
      </c>
      <c r="DX12">
        <v>-20.568397999999998</v>
      </c>
      <c r="DY12">
        <v>-0.460955</v>
      </c>
      <c r="DZ12">
        <v>-21.029309920105508</v>
      </c>
      <c r="EA12" s="8">
        <f t="shared" si="2"/>
        <v>4.3079894489039816E-5</v>
      </c>
    </row>
    <row r="13" spans="2:131">
      <c r="B13" t="s">
        <v>23</v>
      </c>
      <c r="C13" t="s">
        <v>11</v>
      </c>
      <c r="D13">
        <v>317</v>
      </c>
      <c r="E13">
        <v>0</v>
      </c>
      <c r="F13" t="s">
        <v>24</v>
      </c>
      <c r="G13" t="b">
        <v>0</v>
      </c>
      <c r="H13">
        <v>-6.0900379999999998</v>
      </c>
      <c r="I13">
        <v>-3.5543200000000001</v>
      </c>
      <c r="J13">
        <v>-9.644326819156678</v>
      </c>
      <c r="K13">
        <f t="shared" si="0"/>
        <v>3.1180843322431429E-5</v>
      </c>
      <c r="M13" t="s">
        <v>23</v>
      </c>
      <c r="N13" t="s">
        <v>11</v>
      </c>
      <c r="O13">
        <v>317</v>
      </c>
      <c r="P13">
        <v>0</v>
      </c>
      <c r="Q13" t="s">
        <v>24</v>
      </c>
      <c r="R13" t="b">
        <v>0</v>
      </c>
      <c r="S13">
        <v>-6.0900379999999998</v>
      </c>
      <c r="T13">
        <v>-3.5543200000000001</v>
      </c>
      <c r="V13" t="s">
        <v>23</v>
      </c>
      <c r="W13" t="s">
        <v>11</v>
      </c>
      <c r="X13">
        <v>317</v>
      </c>
      <c r="Y13">
        <v>0</v>
      </c>
      <c r="Z13" t="s">
        <v>24</v>
      </c>
      <c r="AA13" t="b">
        <v>0</v>
      </c>
      <c r="AB13">
        <v>-6.0900379999999998</v>
      </c>
      <c r="AC13">
        <v>-3.5543200000000001</v>
      </c>
      <c r="AE13" t="s">
        <v>23</v>
      </c>
      <c r="AF13" t="s">
        <v>11</v>
      </c>
      <c r="AG13">
        <v>317</v>
      </c>
      <c r="AH13">
        <v>0</v>
      </c>
      <c r="AI13" t="s">
        <v>24</v>
      </c>
      <c r="AJ13" t="b">
        <v>0</v>
      </c>
      <c r="AK13">
        <v>-5.8596979999999999</v>
      </c>
      <c r="AL13">
        <v>-3.220987</v>
      </c>
      <c r="AN13" t="s">
        <v>23</v>
      </c>
      <c r="AO13" t="s">
        <v>11</v>
      </c>
      <c r="AP13">
        <v>317</v>
      </c>
      <c r="AQ13">
        <v>0</v>
      </c>
      <c r="AR13" t="s">
        <v>24</v>
      </c>
      <c r="AS13" t="b">
        <v>0</v>
      </c>
      <c r="AT13">
        <v>-5.8596979999999999</v>
      </c>
      <c r="AU13">
        <v>-3.220987</v>
      </c>
      <c r="AW13" t="s">
        <v>29</v>
      </c>
      <c r="AX13" t="s">
        <v>11</v>
      </c>
      <c r="AY13">
        <v>368</v>
      </c>
      <c r="AZ13">
        <v>0</v>
      </c>
      <c r="BA13" t="s">
        <v>30</v>
      </c>
      <c r="BB13" t="b">
        <v>0</v>
      </c>
      <c r="BC13">
        <v>-3.5816560000000002</v>
      </c>
      <c r="BD13">
        <v>-1.1374040000000001</v>
      </c>
      <c r="BF13" t="s">
        <v>29</v>
      </c>
      <c r="BG13" t="s">
        <v>11</v>
      </c>
      <c r="BH13">
        <v>368</v>
      </c>
      <c r="BI13">
        <v>0</v>
      </c>
      <c r="BJ13" t="s">
        <v>30</v>
      </c>
      <c r="BK13" t="b">
        <v>0</v>
      </c>
      <c r="BL13">
        <v>-3.5726830000000001</v>
      </c>
      <c r="BM13">
        <v>-1.1354649999999999</v>
      </c>
      <c r="BO13" t="s">
        <v>23</v>
      </c>
      <c r="BP13" t="s">
        <v>11</v>
      </c>
      <c r="BQ13">
        <v>317</v>
      </c>
      <c r="BR13">
        <v>0</v>
      </c>
      <c r="BS13" t="s">
        <v>24</v>
      </c>
      <c r="BT13" t="b">
        <v>0</v>
      </c>
      <c r="BU13">
        <v>-14.528034</v>
      </c>
      <c r="BV13">
        <v>-3.5543200000000001</v>
      </c>
      <c r="BX13" t="s">
        <v>23</v>
      </c>
      <c r="BY13" t="s">
        <v>11</v>
      </c>
      <c r="BZ13">
        <v>317</v>
      </c>
      <c r="CA13">
        <v>0</v>
      </c>
      <c r="CB13" t="s">
        <v>24</v>
      </c>
      <c r="CC13" t="b">
        <v>0</v>
      </c>
      <c r="CD13">
        <v>-9.6443580000000004</v>
      </c>
      <c r="CE13">
        <v>0</v>
      </c>
      <c r="CF13">
        <f t="shared" si="1"/>
        <v>0</v>
      </c>
      <c r="CH13" t="s">
        <v>29</v>
      </c>
      <c r="CI13" t="s">
        <v>11</v>
      </c>
      <c r="CJ13">
        <v>368</v>
      </c>
      <c r="CK13">
        <v>0</v>
      </c>
      <c r="CL13" t="s">
        <v>30</v>
      </c>
      <c r="CM13" t="b">
        <v>0</v>
      </c>
      <c r="CN13">
        <v>-3.4677319999999998</v>
      </c>
      <c r="CO13">
        <v>-0.90946700000000003</v>
      </c>
      <c r="CQ13" t="s">
        <v>29</v>
      </c>
      <c r="CR13" t="s">
        <v>11</v>
      </c>
      <c r="CS13">
        <v>368</v>
      </c>
      <c r="CT13">
        <v>0</v>
      </c>
      <c r="CU13" t="s">
        <v>30</v>
      </c>
      <c r="CV13" t="b">
        <v>0</v>
      </c>
      <c r="CW13">
        <v>-3.55911</v>
      </c>
      <c r="CX13">
        <v>-1.139707</v>
      </c>
      <c r="CZ13" t="s">
        <v>29</v>
      </c>
      <c r="DA13" t="s">
        <v>11</v>
      </c>
      <c r="DB13">
        <v>368</v>
      </c>
      <c r="DC13">
        <v>0</v>
      </c>
      <c r="DD13" t="s">
        <v>30</v>
      </c>
      <c r="DE13" t="b">
        <v>0</v>
      </c>
      <c r="DF13">
        <v>-3.4790899999999998</v>
      </c>
      <c r="DG13">
        <v>-0.90605400000000003</v>
      </c>
      <c r="DI13" t="s">
        <v>23</v>
      </c>
      <c r="DJ13" t="s">
        <v>11</v>
      </c>
      <c r="DK13">
        <v>317</v>
      </c>
      <c r="DL13">
        <v>0</v>
      </c>
      <c r="DM13" t="s">
        <v>24</v>
      </c>
      <c r="DN13" t="b">
        <v>0</v>
      </c>
      <c r="DO13">
        <v>-6.0900379999999998</v>
      </c>
      <c r="DP13">
        <v>-3.5543200000000001</v>
      </c>
      <c r="DR13" t="s">
        <v>23</v>
      </c>
      <c r="DS13" t="s">
        <v>11</v>
      </c>
      <c r="DT13">
        <v>317</v>
      </c>
      <c r="DU13">
        <v>0</v>
      </c>
      <c r="DV13" t="s">
        <v>24</v>
      </c>
      <c r="DW13" t="b">
        <v>0</v>
      </c>
      <c r="DX13">
        <v>-14.980343</v>
      </c>
      <c r="DY13">
        <v>-3.5543200000000001</v>
      </c>
      <c r="DZ13">
        <v>-18.534591402259071</v>
      </c>
      <c r="EA13" s="8">
        <f t="shared" si="2"/>
        <v>7.1597740928908138E-5</v>
      </c>
    </row>
    <row r="14" spans="2:131">
      <c r="B14" t="s">
        <v>25</v>
      </c>
      <c r="C14" t="s">
        <v>11</v>
      </c>
      <c r="D14">
        <v>318</v>
      </c>
      <c r="E14">
        <v>0</v>
      </c>
      <c r="F14" t="s">
        <v>26</v>
      </c>
      <c r="G14" t="b">
        <v>0</v>
      </c>
      <c r="H14">
        <v>-6.8570929999999999</v>
      </c>
      <c r="I14">
        <v>-1.420417</v>
      </c>
      <c r="J14">
        <v>-8.2774836944070085</v>
      </c>
      <c r="K14">
        <f t="shared" si="0"/>
        <v>2.6305592991882065E-5</v>
      </c>
      <c r="M14" t="s">
        <v>25</v>
      </c>
      <c r="N14" t="s">
        <v>11</v>
      </c>
      <c r="O14">
        <v>318</v>
      </c>
      <c r="P14">
        <v>0</v>
      </c>
      <c r="Q14" t="s">
        <v>26</v>
      </c>
      <c r="R14" t="b">
        <v>0</v>
      </c>
      <c r="S14">
        <v>-6.8570929999999999</v>
      </c>
      <c r="T14">
        <v>-1.420417</v>
      </c>
      <c r="V14" t="s">
        <v>25</v>
      </c>
      <c r="W14" t="s">
        <v>11</v>
      </c>
      <c r="X14">
        <v>318</v>
      </c>
      <c r="Y14">
        <v>0</v>
      </c>
      <c r="Z14" t="s">
        <v>26</v>
      </c>
      <c r="AA14" t="b">
        <v>0</v>
      </c>
      <c r="AB14">
        <v>-6.8570929999999999</v>
      </c>
      <c r="AC14">
        <v>-1.420417</v>
      </c>
      <c r="AE14" t="s">
        <v>25</v>
      </c>
      <c r="AF14" t="s">
        <v>11</v>
      </c>
      <c r="AG14">
        <v>318</v>
      </c>
      <c r="AH14">
        <v>0</v>
      </c>
      <c r="AI14" t="s">
        <v>26</v>
      </c>
      <c r="AJ14" t="b">
        <v>0</v>
      </c>
      <c r="AK14">
        <v>-6.930167</v>
      </c>
      <c r="AL14">
        <v>-1.5335449999999999</v>
      </c>
      <c r="AN14" t="s">
        <v>25</v>
      </c>
      <c r="AO14" t="s">
        <v>11</v>
      </c>
      <c r="AP14">
        <v>318</v>
      </c>
      <c r="AQ14">
        <v>0</v>
      </c>
      <c r="AR14" t="s">
        <v>26</v>
      </c>
      <c r="AS14" t="b">
        <v>0</v>
      </c>
      <c r="AT14">
        <v>-6.930167</v>
      </c>
      <c r="AU14">
        <v>-1.5335449999999999</v>
      </c>
      <c r="AW14" t="s">
        <v>31</v>
      </c>
      <c r="AX14" t="s">
        <v>11</v>
      </c>
      <c r="AY14">
        <v>370</v>
      </c>
      <c r="AZ14">
        <v>0</v>
      </c>
      <c r="BA14" t="s">
        <v>32</v>
      </c>
      <c r="BB14" t="b">
        <v>0</v>
      </c>
      <c r="BC14">
        <v>-4.3724569999999998</v>
      </c>
      <c r="BD14">
        <v>-0.71759399999999995</v>
      </c>
      <c r="BF14" t="s">
        <v>31</v>
      </c>
      <c r="BG14" t="s">
        <v>11</v>
      </c>
      <c r="BH14">
        <v>370</v>
      </c>
      <c r="BI14">
        <v>0</v>
      </c>
      <c r="BJ14" t="s">
        <v>32</v>
      </c>
      <c r="BK14" t="b">
        <v>0</v>
      </c>
      <c r="BL14">
        <v>-4.3670910000000003</v>
      </c>
      <c r="BM14">
        <v>-0.71799500000000005</v>
      </c>
      <c r="BO14" t="s">
        <v>25</v>
      </c>
      <c r="BP14" t="s">
        <v>11</v>
      </c>
      <c r="BQ14">
        <v>318</v>
      </c>
      <c r="BR14">
        <v>0</v>
      </c>
      <c r="BS14" t="s">
        <v>26</v>
      </c>
      <c r="BT14" t="b">
        <v>0</v>
      </c>
      <c r="BU14">
        <v>-16.504677000000001</v>
      </c>
      <c r="BV14">
        <v>-1.420417</v>
      </c>
      <c r="BX14" t="s">
        <v>25</v>
      </c>
      <c r="BY14" t="s">
        <v>11</v>
      </c>
      <c r="BZ14">
        <v>318</v>
      </c>
      <c r="CA14">
        <v>0</v>
      </c>
      <c r="CB14" t="s">
        <v>26</v>
      </c>
      <c r="CC14" t="b">
        <v>0</v>
      </c>
      <c r="CD14">
        <v>-8.2775110000000005</v>
      </c>
      <c r="CE14">
        <v>0</v>
      </c>
      <c r="CF14">
        <f t="shared" si="1"/>
        <v>-1.0000000005838672E-6</v>
      </c>
      <c r="CH14" t="s">
        <v>31</v>
      </c>
      <c r="CI14" t="s">
        <v>11</v>
      </c>
      <c r="CJ14">
        <v>370</v>
      </c>
      <c r="CK14">
        <v>0</v>
      </c>
      <c r="CL14" t="s">
        <v>32</v>
      </c>
      <c r="CM14" t="b">
        <v>0</v>
      </c>
      <c r="CN14">
        <v>-3.6402030000000001</v>
      </c>
      <c r="CO14">
        <v>-0.80390799999999996</v>
      </c>
      <c r="CQ14" t="s">
        <v>31</v>
      </c>
      <c r="CR14" t="s">
        <v>11</v>
      </c>
      <c r="CS14">
        <v>370</v>
      </c>
      <c r="CT14">
        <v>0</v>
      </c>
      <c r="CU14" t="s">
        <v>32</v>
      </c>
      <c r="CV14" t="b">
        <v>0</v>
      </c>
      <c r="CW14">
        <v>-4.3413259999999996</v>
      </c>
      <c r="CX14">
        <v>-0.71770100000000003</v>
      </c>
      <c r="CZ14" t="s">
        <v>31</v>
      </c>
      <c r="DA14" t="s">
        <v>11</v>
      </c>
      <c r="DB14">
        <v>370</v>
      </c>
      <c r="DC14">
        <v>0</v>
      </c>
      <c r="DD14" t="s">
        <v>32</v>
      </c>
      <c r="DE14" t="b">
        <v>0</v>
      </c>
      <c r="DF14">
        <v>-3.6683469999999998</v>
      </c>
      <c r="DG14">
        <v>-0.80382600000000004</v>
      </c>
      <c r="DI14" t="s">
        <v>25</v>
      </c>
      <c r="DJ14" t="s">
        <v>11</v>
      </c>
      <c r="DK14">
        <v>318</v>
      </c>
      <c r="DL14">
        <v>0</v>
      </c>
      <c r="DM14" t="s">
        <v>26</v>
      </c>
      <c r="DN14" t="b">
        <v>0</v>
      </c>
      <c r="DO14">
        <v>-6.8570929999999999</v>
      </c>
      <c r="DP14">
        <v>-1.420417</v>
      </c>
      <c r="DR14" t="s">
        <v>25</v>
      </c>
      <c r="DS14" t="s">
        <v>11</v>
      </c>
      <c r="DT14">
        <v>318</v>
      </c>
      <c r="DU14">
        <v>0</v>
      </c>
      <c r="DV14" t="s">
        <v>26</v>
      </c>
      <c r="DW14" t="b">
        <v>0</v>
      </c>
      <c r="DX14">
        <v>-16.482714000000001</v>
      </c>
      <c r="DY14">
        <v>-1.420417</v>
      </c>
      <c r="DZ14">
        <v>-17.903133711105681</v>
      </c>
      <c r="EA14" s="8">
        <f>DZ14-DY14-DX14</f>
        <v>-2.7111056795092736E-6</v>
      </c>
    </row>
    <row r="15" spans="2:131">
      <c r="B15" t="s">
        <v>27</v>
      </c>
      <c r="C15" t="s">
        <v>11</v>
      </c>
      <c r="D15">
        <v>321</v>
      </c>
      <c r="E15">
        <v>0</v>
      </c>
      <c r="F15" t="s">
        <v>28</v>
      </c>
      <c r="G15" t="b">
        <v>0</v>
      </c>
      <c r="H15">
        <v>-2.3329309999999999</v>
      </c>
      <c r="I15">
        <v>-1.2482850000000001</v>
      </c>
      <c r="J15">
        <v>-3.5812100439257533</v>
      </c>
      <c r="K15">
        <f t="shared" si="0"/>
        <v>5.9560742466935324E-6</v>
      </c>
      <c r="M15" t="s">
        <v>27</v>
      </c>
      <c r="N15" t="s">
        <v>11</v>
      </c>
      <c r="O15">
        <v>321</v>
      </c>
      <c r="P15">
        <v>0</v>
      </c>
      <c r="Q15" t="s">
        <v>28</v>
      </c>
      <c r="R15" t="b">
        <v>0</v>
      </c>
      <c r="S15">
        <v>-2.3329309999999999</v>
      </c>
      <c r="T15">
        <v>-1.2482850000000001</v>
      </c>
      <c r="V15" t="s">
        <v>27</v>
      </c>
      <c r="W15" t="s">
        <v>11</v>
      </c>
      <c r="X15">
        <v>321</v>
      </c>
      <c r="Y15">
        <v>0</v>
      </c>
      <c r="Z15" t="s">
        <v>28</v>
      </c>
      <c r="AA15" t="b">
        <v>0</v>
      </c>
      <c r="AB15">
        <v>-2.3329309999999999</v>
      </c>
      <c r="AC15">
        <v>-1.2482850000000001</v>
      </c>
      <c r="AE15" t="s">
        <v>27</v>
      </c>
      <c r="AF15" t="s">
        <v>11</v>
      </c>
      <c r="AG15">
        <v>321</v>
      </c>
      <c r="AH15">
        <v>0</v>
      </c>
      <c r="AI15" t="s">
        <v>28</v>
      </c>
      <c r="AJ15" t="b">
        <v>0</v>
      </c>
      <c r="AK15">
        <v>-1.772559</v>
      </c>
      <c r="AL15">
        <v>-1.197168</v>
      </c>
      <c r="AN15" t="s">
        <v>27</v>
      </c>
      <c r="AO15" t="s">
        <v>11</v>
      </c>
      <c r="AP15">
        <v>321</v>
      </c>
      <c r="AQ15">
        <v>0</v>
      </c>
      <c r="AR15" t="s">
        <v>28</v>
      </c>
      <c r="AS15" t="b">
        <v>0</v>
      </c>
      <c r="AT15">
        <v>-1.772559</v>
      </c>
      <c r="AU15">
        <v>-1.197168</v>
      </c>
      <c r="AW15" t="s">
        <v>14</v>
      </c>
      <c r="AX15" t="s">
        <v>11</v>
      </c>
      <c r="AY15">
        <v>380</v>
      </c>
      <c r="AZ15">
        <v>0</v>
      </c>
      <c r="BA15" t="s">
        <v>33</v>
      </c>
      <c r="BB15" t="b">
        <v>0</v>
      </c>
      <c r="BC15">
        <v>-2.5851649999999999</v>
      </c>
      <c r="BD15">
        <v>-0.65592799999999996</v>
      </c>
      <c r="BF15" t="s">
        <v>14</v>
      </c>
      <c r="BG15" t="s">
        <v>11</v>
      </c>
      <c r="BH15">
        <v>380</v>
      </c>
      <c r="BI15">
        <v>0</v>
      </c>
      <c r="BJ15" t="s">
        <v>33</v>
      </c>
      <c r="BK15" t="b">
        <v>0</v>
      </c>
      <c r="BL15">
        <v>-2.624177</v>
      </c>
      <c r="BM15">
        <v>-0.65646800000000005</v>
      </c>
      <c r="BO15" t="s">
        <v>27</v>
      </c>
      <c r="BP15" t="s">
        <v>11</v>
      </c>
      <c r="BQ15">
        <v>321</v>
      </c>
      <c r="BR15">
        <v>0</v>
      </c>
      <c r="BS15" t="s">
        <v>28</v>
      </c>
      <c r="BT15" t="b">
        <v>0</v>
      </c>
      <c r="BU15">
        <v>-9.8406260000000003</v>
      </c>
      <c r="BV15">
        <v>-1.2482850000000001</v>
      </c>
      <c r="BX15" t="s">
        <v>27</v>
      </c>
      <c r="BY15" t="s">
        <v>11</v>
      </c>
      <c r="BZ15">
        <v>321</v>
      </c>
      <c r="CA15">
        <v>0</v>
      </c>
      <c r="CB15" t="s">
        <v>28</v>
      </c>
      <c r="CC15" t="b">
        <v>0</v>
      </c>
      <c r="CD15">
        <v>-3.581216</v>
      </c>
      <c r="CE15">
        <v>0</v>
      </c>
      <c r="CF15">
        <f t="shared" si="1"/>
        <v>0</v>
      </c>
      <c r="CH15" t="s">
        <v>14</v>
      </c>
      <c r="CI15" t="s">
        <v>11</v>
      </c>
      <c r="CJ15">
        <v>380</v>
      </c>
      <c r="CK15">
        <v>0</v>
      </c>
      <c r="CL15" t="s">
        <v>33</v>
      </c>
      <c r="CM15" t="b">
        <v>0</v>
      </c>
      <c r="CN15">
        <v>-2.3852220000000002</v>
      </c>
      <c r="CO15">
        <v>-0.613703</v>
      </c>
      <c r="CQ15" t="s">
        <v>14</v>
      </c>
      <c r="CR15" t="s">
        <v>11</v>
      </c>
      <c r="CS15">
        <v>380</v>
      </c>
      <c r="CT15">
        <v>0</v>
      </c>
      <c r="CU15" t="s">
        <v>33</v>
      </c>
      <c r="CV15" t="b">
        <v>0</v>
      </c>
      <c r="CW15">
        <v>-2.5998359999999998</v>
      </c>
      <c r="CX15">
        <v>-0.65625500000000003</v>
      </c>
      <c r="CZ15" t="s">
        <v>14</v>
      </c>
      <c r="DA15" t="s">
        <v>11</v>
      </c>
      <c r="DB15">
        <v>380</v>
      </c>
      <c r="DC15">
        <v>0</v>
      </c>
      <c r="DD15" t="s">
        <v>33</v>
      </c>
      <c r="DE15" t="b">
        <v>0</v>
      </c>
      <c r="DF15">
        <v>-2.41452</v>
      </c>
      <c r="DG15">
        <v>-0.61419299999999999</v>
      </c>
      <c r="DI15" t="s">
        <v>27</v>
      </c>
      <c r="DJ15" t="s">
        <v>11</v>
      </c>
      <c r="DK15">
        <v>321</v>
      </c>
      <c r="DL15">
        <v>0</v>
      </c>
      <c r="DM15" t="s">
        <v>28</v>
      </c>
      <c r="DN15" t="b">
        <v>0</v>
      </c>
      <c r="DO15">
        <v>-2.3329309999999999</v>
      </c>
      <c r="DP15">
        <v>-1.2482850000000001</v>
      </c>
      <c r="DR15" t="s">
        <v>27</v>
      </c>
      <c r="DS15" t="s">
        <v>11</v>
      </c>
      <c r="DT15">
        <v>321</v>
      </c>
      <c r="DU15">
        <v>0</v>
      </c>
      <c r="DV15" t="s">
        <v>28</v>
      </c>
      <c r="DW15" t="b">
        <v>0</v>
      </c>
      <c r="DX15">
        <v>-9.8406190000000002</v>
      </c>
      <c r="DY15">
        <v>-1.2482850000000001</v>
      </c>
      <c r="DZ15">
        <v>-11.088905201494335</v>
      </c>
      <c r="EA15" s="8">
        <f t="shared" si="2"/>
        <v>-1.2014943351346119E-6</v>
      </c>
    </row>
    <row r="16" spans="2:131">
      <c r="B16" t="s">
        <v>29</v>
      </c>
      <c r="C16" t="s">
        <v>11</v>
      </c>
      <c r="D16">
        <v>368</v>
      </c>
      <c r="E16">
        <v>0</v>
      </c>
      <c r="F16" t="s">
        <v>30</v>
      </c>
      <c r="G16" t="b">
        <v>0</v>
      </c>
      <c r="H16">
        <v>-3.5816560000000002</v>
      </c>
      <c r="I16">
        <v>-1.1374040000000001</v>
      </c>
      <c r="J16">
        <v>-4.7189908369504208</v>
      </c>
      <c r="K16">
        <f t="shared" si="0"/>
        <v>6.9163049579490377E-5</v>
      </c>
      <c r="M16" t="s">
        <v>29</v>
      </c>
      <c r="N16" t="s">
        <v>11</v>
      </c>
      <c r="O16">
        <v>368</v>
      </c>
      <c r="P16">
        <v>0</v>
      </c>
      <c r="Q16" t="s">
        <v>30</v>
      </c>
      <c r="R16" t="b">
        <v>0</v>
      </c>
      <c r="S16">
        <v>-3.5816560000000002</v>
      </c>
      <c r="T16">
        <v>-1.1374040000000001</v>
      </c>
      <c r="V16" t="s">
        <v>29</v>
      </c>
      <c r="W16" t="s">
        <v>11</v>
      </c>
      <c r="X16">
        <v>368</v>
      </c>
      <c r="Y16">
        <v>0</v>
      </c>
      <c r="Z16" t="s">
        <v>30</v>
      </c>
      <c r="AA16" t="b">
        <v>0</v>
      </c>
      <c r="AB16">
        <v>-3.5816560000000002</v>
      </c>
      <c r="AC16">
        <v>-1.1374040000000001</v>
      </c>
      <c r="AE16" t="s">
        <v>29</v>
      </c>
      <c r="AF16" t="s">
        <v>11</v>
      </c>
      <c r="AG16">
        <v>368</v>
      </c>
      <c r="AH16">
        <v>0</v>
      </c>
      <c r="AI16" t="s">
        <v>30</v>
      </c>
      <c r="AJ16" t="b">
        <v>0</v>
      </c>
      <c r="AK16">
        <v>-3.0642309999999999</v>
      </c>
      <c r="AL16">
        <v>-1.14255</v>
      </c>
      <c r="AN16" t="s">
        <v>29</v>
      </c>
      <c r="AO16" t="s">
        <v>11</v>
      </c>
      <c r="AP16">
        <v>368</v>
      </c>
      <c r="AQ16">
        <v>0</v>
      </c>
      <c r="AR16" t="s">
        <v>30</v>
      </c>
      <c r="AS16" t="b">
        <v>0</v>
      </c>
      <c r="AT16">
        <v>-3.0642309999999999</v>
      </c>
      <c r="AU16">
        <v>-1.14255</v>
      </c>
      <c r="AW16" t="s">
        <v>23</v>
      </c>
      <c r="AX16" t="s">
        <v>11</v>
      </c>
      <c r="AY16">
        <v>382</v>
      </c>
      <c r="AZ16">
        <v>0</v>
      </c>
      <c r="BA16" t="s">
        <v>34</v>
      </c>
      <c r="BB16" t="b">
        <v>0</v>
      </c>
      <c r="BC16">
        <v>-6.5406649999999997</v>
      </c>
      <c r="BD16">
        <v>-0.86451900000000004</v>
      </c>
      <c r="BF16" t="s">
        <v>23</v>
      </c>
      <c r="BG16" t="s">
        <v>11</v>
      </c>
      <c r="BH16">
        <v>382</v>
      </c>
      <c r="BI16">
        <v>0</v>
      </c>
      <c r="BJ16" t="s">
        <v>34</v>
      </c>
      <c r="BK16" t="b">
        <v>0</v>
      </c>
      <c r="BL16">
        <v>-6.5305499999999999</v>
      </c>
      <c r="BM16">
        <v>-0.86413600000000002</v>
      </c>
      <c r="BO16" t="s">
        <v>29</v>
      </c>
      <c r="BP16" t="s">
        <v>11</v>
      </c>
      <c r="BQ16">
        <v>368</v>
      </c>
      <c r="BR16">
        <v>0</v>
      </c>
      <c r="BS16" t="s">
        <v>30</v>
      </c>
      <c r="BT16" t="b">
        <v>0</v>
      </c>
      <c r="BU16">
        <v>-8.8541179999999997</v>
      </c>
      <c r="BV16">
        <v>-1.1374040000000001</v>
      </c>
      <c r="BX16" t="s">
        <v>29</v>
      </c>
      <c r="BY16" t="s">
        <v>11</v>
      </c>
      <c r="BZ16">
        <v>368</v>
      </c>
      <c r="CA16">
        <v>0</v>
      </c>
      <c r="CB16" t="s">
        <v>30</v>
      </c>
      <c r="CC16" t="b">
        <v>0</v>
      </c>
      <c r="CD16">
        <v>-4.719061</v>
      </c>
      <c r="CE16">
        <v>0</v>
      </c>
      <c r="CF16">
        <f t="shared" si="1"/>
        <v>-9.9999999969568876E-7</v>
      </c>
      <c r="CH16" t="s">
        <v>23</v>
      </c>
      <c r="CI16" t="s">
        <v>11</v>
      </c>
      <c r="CJ16">
        <v>382</v>
      </c>
      <c r="CK16">
        <v>0</v>
      </c>
      <c r="CL16" t="s">
        <v>34</v>
      </c>
      <c r="CM16" t="b">
        <v>0</v>
      </c>
      <c r="CN16">
        <v>-6.7506430000000002</v>
      </c>
      <c r="CO16">
        <v>-1.0439050000000001</v>
      </c>
      <c r="CQ16" t="s">
        <v>23</v>
      </c>
      <c r="CR16" t="s">
        <v>11</v>
      </c>
      <c r="CS16">
        <v>382</v>
      </c>
      <c r="CT16">
        <v>0</v>
      </c>
      <c r="CU16" t="s">
        <v>34</v>
      </c>
      <c r="CV16" t="b">
        <v>0</v>
      </c>
      <c r="CW16">
        <v>-6.5179369999999999</v>
      </c>
      <c r="CX16">
        <v>-0.86448100000000005</v>
      </c>
      <c r="CZ16" t="s">
        <v>23</v>
      </c>
      <c r="DA16" t="s">
        <v>11</v>
      </c>
      <c r="DB16">
        <v>382</v>
      </c>
      <c r="DC16">
        <v>0</v>
      </c>
      <c r="DD16" t="s">
        <v>34</v>
      </c>
      <c r="DE16" t="b">
        <v>0</v>
      </c>
      <c r="DF16">
        <v>-6.742686</v>
      </c>
      <c r="DG16">
        <v>-1.0435410000000001</v>
      </c>
      <c r="DI16" t="s">
        <v>29</v>
      </c>
      <c r="DJ16" t="s">
        <v>11</v>
      </c>
      <c r="DK16">
        <v>368</v>
      </c>
      <c r="DL16">
        <v>0</v>
      </c>
      <c r="DM16" t="s">
        <v>30</v>
      </c>
      <c r="DN16" t="b">
        <v>0</v>
      </c>
      <c r="DO16">
        <v>-3.5816560000000002</v>
      </c>
      <c r="DP16">
        <v>-1.1374040000000001</v>
      </c>
      <c r="DR16" t="s">
        <v>29</v>
      </c>
      <c r="DS16" t="s">
        <v>11</v>
      </c>
      <c r="DT16">
        <v>368</v>
      </c>
      <c r="DU16">
        <v>0</v>
      </c>
      <c r="DV16" t="s">
        <v>30</v>
      </c>
      <c r="DW16" t="b">
        <v>0</v>
      </c>
      <c r="DX16">
        <v>-8.8541179999999997</v>
      </c>
      <c r="DY16">
        <v>-1.1374040000000001</v>
      </c>
      <c r="DZ16">
        <v>-11.435621833901036</v>
      </c>
      <c r="EA16" s="8"/>
    </row>
    <row r="17" spans="2:131">
      <c r="B17" t="s">
        <v>31</v>
      </c>
      <c r="C17" t="s">
        <v>11</v>
      </c>
      <c r="D17">
        <v>370</v>
      </c>
      <c r="E17">
        <v>0</v>
      </c>
      <c r="F17" t="s">
        <v>32</v>
      </c>
      <c r="G17" t="b">
        <v>0</v>
      </c>
      <c r="H17">
        <v>-4.3724569999999998</v>
      </c>
      <c r="I17">
        <v>-0.71759399999999995</v>
      </c>
      <c r="J17">
        <v>-5.0900517254463402</v>
      </c>
      <c r="K17">
        <f t="shared" si="0"/>
        <v>-7.2544634033278044E-7</v>
      </c>
      <c r="M17" t="s">
        <v>31</v>
      </c>
      <c r="N17" t="s">
        <v>11</v>
      </c>
      <c r="O17">
        <v>370</v>
      </c>
      <c r="P17">
        <v>0</v>
      </c>
      <c r="Q17" t="s">
        <v>32</v>
      </c>
      <c r="R17" t="b">
        <v>0</v>
      </c>
      <c r="S17">
        <v>-4.3724569999999998</v>
      </c>
      <c r="T17">
        <v>-0.71759399999999995</v>
      </c>
      <c r="V17" t="s">
        <v>31</v>
      </c>
      <c r="W17" t="s">
        <v>11</v>
      </c>
      <c r="X17">
        <v>370</v>
      </c>
      <c r="Y17">
        <v>0</v>
      </c>
      <c r="Z17" t="s">
        <v>32</v>
      </c>
      <c r="AA17" t="b">
        <v>0</v>
      </c>
      <c r="AB17">
        <v>-4.3724569999999998</v>
      </c>
      <c r="AC17">
        <v>-0.71759399999999995</v>
      </c>
      <c r="AE17" t="s">
        <v>31</v>
      </c>
      <c r="AF17" t="s">
        <v>11</v>
      </c>
      <c r="AG17">
        <v>370</v>
      </c>
      <c r="AH17">
        <v>0</v>
      </c>
      <c r="AI17" t="s">
        <v>32</v>
      </c>
      <c r="AJ17" t="b">
        <v>0</v>
      </c>
      <c r="AK17">
        <v>-3.8923869999999998</v>
      </c>
      <c r="AL17">
        <v>-0.74549900000000002</v>
      </c>
      <c r="AN17" t="s">
        <v>31</v>
      </c>
      <c r="AO17" t="s">
        <v>11</v>
      </c>
      <c r="AP17">
        <v>370</v>
      </c>
      <c r="AQ17">
        <v>0</v>
      </c>
      <c r="AR17" t="s">
        <v>32</v>
      </c>
      <c r="AS17" t="b">
        <v>0</v>
      </c>
      <c r="AT17">
        <v>-3.8923239999999999</v>
      </c>
      <c r="AU17">
        <v>-0.74549900000000002</v>
      </c>
      <c r="AW17" t="s">
        <v>29</v>
      </c>
      <c r="AX17" t="s">
        <v>11</v>
      </c>
      <c r="AY17">
        <v>368</v>
      </c>
      <c r="AZ17">
        <v>0</v>
      </c>
      <c r="BA17" t="s">
        <v>30</v>
      </c>
      <c r="BB17" t="b">
        <v>1</v>
      </c>
      <c r="BC17">
        <v>-1.4130210000000001</v>
      </c>
      <c r="BD17">
        <v>-1.1374040000000001</v>
      </c>
      <c r="BF17" t="s">
        <v>29</v>
      </c>
      <c r="BG17" t="s">
        <v>11</v>
      </c>
      <c r="BH17">
        <v>368</v>
      </c>
      <c r="BI17">
        <v>0</v>
      </c>
      <c r="BJ17" t="s">
        <v>30</v>
      </c>
      <c r="BK17" t="b">
        <v>1</v>
      </c>
      <c r="BL17">
        <v>-1.397929</v>
      </c>
      <c r="BM17">
        <v>-1.1354649999999999</v>
      </c>
      <c r="BO17" t="s">
        <v>31</v>
      </c>
      <c r="BP17" t="s">
        <v>11</v>
      </c>
      <c r="BQ17">
        <v>370</v>
      </c>
      <c r="BR17">
        <v>0</v>
      </c>
      <c r="BS17" t="s">
        <v>32</v>
      </c>
      <c r="BT17" t="b">
        <v>0</v>
      </c>
      <c r="BU17">
        <v>-10.942356999999999</v>
      </c>
      <c r="BV17">
        <v>-0.71759399999999995</v>
      </c>
      <c r="BX17" t="s">
        <v>31</v>
      </c>
      <c r="BY17" t="s">
        <v>11</v>
      </c>
      <c r="BZ17">
        <v>370</v>
      </c>
      <c r="CA17">
        <v>0</v>
      </c>
      <c r="CB17" t="s">
        <v>32</v>
      </c>
      <c r="CC17" t="b">
        <v>0</v>
      </c>
      <c r="CD17">
        <v>-5.0900499999999997</v>
      </c>
      <c r="CE17">
        <v>0</v>
      </c>
      <c r="CF17">
        <f t="shared" si="1"/>
        <v>1.0000000000287557E-6</v>
      </c>
      <c r="CH17" t="s">
        <v>29</v>
      </c>
      <c r="CI17" t="s">
        <v>11</v>
      </c>
      <c r="CJ17">
        <v>368</v>
      </c>
      <c r="CK17">
        <v>0</v>
      </c>
      <c r="CL17" t="s">
        <v>30</v>
      </c>
      <c r="CM17" t="b">
        <v>1</v>
      </c>
      <c r="CN17">
        <v>-1.5656939999999999</v>
      </c>
      <c r="CO17">
        <v>-0.90946700000000003</v>
      </c>
      <c r="CQ17" t="s">
        <v>29</v>
      </c>
      <c r="CR17" t="s">
        <v>11</v>
      </c>
      <c r="CS17">
        <v>368</v>
      </c>
      <c r="CT17">
        <v>0</v>
      </c>
      <c r="CU17" t="s">
        <v>30</v>
      </c>
      <c r="CV17" t="b">
        <v>1</v>
      </c>
      <c r="CW17">
        <v>-1.3853599999999999</v>
      </c>
      <c r="CX17">
        <v>-1.139707</v>
      </c>
      <c r="CZ17" t="s">
        <v>29</v>
      </c>
      <c r="DA17" t="s">
        <v>11</v>
      </c>
      <c r="DB17">
        <v>368</v>
      </c>
      <c r="DC17">
        <v>0</v>
      </c>
      <c r="DD17" t="s">
        <v>30</v>
      </c>
      <c r="DE17" t="b">
        <v>1</v>
      </c>
      <c r="DF17">
        <v>-1.575734</v>
      </c>
      <c r="DG17">
        <v>-0.90605400000000003</v>
      </c>
      <c r="DI17" t="s">
        <v>31</v>
      </c>
      <c r="DJ17" t="s">
        <v>11</v>
      </c>
      <c r="DK17">
        <v>370</v>
      </c>
      <c r="DL17">
        <v>0</v>
      </c>
      <c r="DM17" t="s">
        <v>32</v>
      </c>
      <c r="DN17" t="b">
        <v>0</v>
      </c>
      <c r="DO17">
        <v>-4.3724569999999998</v>
      </c>
      <c r="DP17">
        <v>-0.71759399999999995</v>
      </c>
      <c r="DR17" t="s">
        <v>31</v>
      </c>
      <c r="DS17" t="s">
        <v>11</v>
      </c>
      <c r="DT17">
        <v>370</v>
      </c>
      <c r="DU17">
        <v>0</v>
      </c>
      <c r="DV17" t="s">
        <v>32</v>
      </c>
      <c r="DW17" t="b">
        <v>0</v>
      </c>
      <c r="DX17">
        <v>-10.942231</v>
      </c>
      <c r="DY17">
        <v>-0.71759399999999995</v>
      </c>
      <c r="DZ17">
        <v>-11.65983267622976</v>
      </c>
      <c r="EA17" s="8">
        <f t="shared" si="2"/>
        <v>-7.6762297602783747E-6</v>
      </c>
    </row>
    <row r="18" spans="2:131">
      <c r="B18" t="s">
        <v>14</v>
      </c>
      <c r="C18" t="s">
        <v>11</v>
      </c>
      <c r="D18">
        <v>380</v>
      </c>
      <c r="E18">
        <v>0</v>
      </c>
      <c r="F18" t="s">
        <v>33</v>
      </c>
      <c r="G18" t="b">
        <v>0</v>
      </c>
      <c r="H18">
        <v>-2.5851649999999999</v>
      </c>
      <c r="I18">
        <v>-0.65592799999999996</v>
      </c>
      <c r="J18">
        <v>-3.2410681791415716</v>
      </c>
      <c r="K18">
        <f t="shared" si="0"/>
        <v>2.4820858428142856E-5</v>
      </c>
      <c r="M18" t="s">
        <v>14</v>
      </c>
      <c r="N18" t="s">
        <v>11</v>
      </c>
      <c r="O18">
        <v>380</v>
      </c>
      <c r="P18">
        <v>0</v>
      </c>
      <c r="Q18" t="s">
        <v>33</v>
      </c>
      <c r="R18" t="b">
        <v>0</v>
      </c>
      <c r="S18">
        <v>-2.5851649999999999</v>
      </c>
      <c r="T18">
        <v>-0.65592799999999996</v>
      </c>
      <c r="V18" t="s">
        <v>14</v>
      </c>
      <c r="W18" t="s">
        <v>11</v>
      </c>
      <c r="X18">
        <v>380</v>
      </c>
      <c r="Y18">
        <v>0</v>
      </c>
      <c r="Z18" t="s">
        <v>33</v>
      </c>
      <c r="AA18" t="b">
        <v>0</v>
      </c>
      <c r="AB18">
        <v>-2.5851649999999999</v>
      </c>
      <c r="AC18">
        <v>-0.65592799999999996</v>
      </c>
      <c r="AE18" t="s">
        <v>14</v>
      </c>
      <c r="AF18" t="s">
        <v>11</v>
      </c>
      <c r="AG18">
        <v>380</v>
      </c>
      <c r="AH18">
        <v>0</v>
      </c>
      <c r="AI18" t="s">
        <v>33</v>
      </c>
      <c r="AJ18" t="b">
        <v>0</v>
      </c>
      <c r="AK18">
        <v>-2.0859679999999998</v>
      </c>
      <c r="AL18">
        <v>-0.65414600000000001</v>
      </c>
      <c r="AN18" t="s">
        <v>14</v>
      </c>
      <c r="AO18" t="s">
        <v>11</v>
      </c>
      <c r="AP18">
        <v>380</v>
      </c>
      <c r="AQ18">
        <v>0</v>
      </c>
      <c r="AR18" t="s">
        <v>33</v>
      </c>
      <c r="AS18" t="b">
        <v>0</v>
      </c>
      <c r="AT18">
        <v>-2.0859679999999998</v>
      </c>
      <c r="AU18">
        <v>-0.65414600000000001</v>
      </c>
      <c r="BO18" t="s">
        <v>14</v>
      </c>
      <c r="BP18" t="s">
        <v>11</v>
      </c>
      <c r="BQ18">
        <v>380</v>
      </c>
      <c r="BR18">
        <v>0</v>
      </c>
      <c r="BS18" t="s">
        <v>33</v>
      </c>
      <c r="BT18" t="b">
        <v>0</v>
      </c>
      <c r="BU18">
        <v>-11.973361000000001</v>
      </c>
      <c r="BV18">
        <v>-0.65592799999999996</v>
      </c>
      <c r="BX18" t="s">
        <v>14</v>
      </c>
      <c r="BY18" t="s">
        <v>11</v>
      </c>
      <c r="BZ18">
        <v>380</v>
      </c>
      <c r="CA18">
        <v>0</v>
      </c>
      <c r="CB18" t="s">
        <v>33</v>
      </c>
      <c r="CC18" t="b">
        <v>0</v>
      </c>
      <c r="CD18">
        <v>-3.2410929999999998</v>
      </c>
      <c r="CE18">
        <v>0</v>
      </c>
      <c r="CF18">
        <f t="shared" si="1"/>
        <v>0</v>
      </c>
      <c r="DI18" t="s">
        <v>14</v>
      </c>
      <c r="DJ18" t="s">
        <v>11</v>
      </c>
      <c r="DK18">
        <v>380</v>
      </c>
      <c r="DL18">
        <v>0</v>
      </c>
      <c r="DM18" t="s">
        <v>33</v>
      </c>
      <c r="DN18" t="b">
        <v>0</v>
      </c>
      <c r="DO18">
        <v>-2.5851649999999999</v>
      </c>
      <c r="DP18">
        <v>-0.65592799999999996</v>
      </c>
      <c r="DR18" t="s">
        <v>14</v>
      </c>
      <c r="DS18" t="s">
        <v>11</v>
      </c>
      <c r="DT18">
        <v>380</v>
      </c>
      <c r="DU18">
        <v>0</v>
      </c>
      <c r="DV18" t="s">
        <v>33</v>
      </c>
      <c r="DW18" t="b">
        <v>0</v>
      </c>
      <c r="DX18">
        <v>-11.907465999999999</v>
      </c>
      <c r="DY18">
        <v>-0.65592799999999996</v>
      </c>
      <c r="DZ18">
        <v>-12.563404475436464</v>
      </c>
      <c r="EA18" s="8">
        <f t="shared" si="2"/>
        <v>-1.0475436464929544E-5</v>
      </c>
    </row>
    <row r="19" spans="2:131">
      <c r="B19" t="s">
        <v>23</v>
      </c>
      <c r="C19" t="s">
        <v>11</v>
      </c>
      <c r="D19">
        <v>382</v>
      </c>
      <c r="E19">
        <v>0</v>
      </c>
      <c r="F19" t="s">
        <v>34</v>
      </c>
      <c r="G19" t="b">
        <v>0</v>
      </c>
      <c r="H19">
        <v>-6.5406649999999997</v>
      </c>
      <c r="I19">
        <v>-0.86451900000000004</v>
      </c>
      <c r="J19">
        <v>-7.4051523184114725</v>
      </c>
      <c r="K19">
        <f t="shared" si="0"/>
        <v>3.1681588526843996E-5</v>
      </c>
      <c r="M19" t="s">
        <v>23</v>
      </c>
      <c r="N19" t="s">
        <v>11</v>
      </c>
      <c r="O19">
        <v>382</v>
      </c>
      <c r="P19">
        <v>0</v>
      </c>
      <c r="Q19" t="s">
        <v>34</v>
      </c>
      <c r="R19" t="b">
        <v>0</v>
      </c>
      <c r="S19">
        <v>-6.5406649999999997</v>
      </c>
      <c r="T19">
        <v>-0.86451900000000004</v>
      </c>
      <c r="V19" t="s">
        <v>23</v>
      </c>
      <c r="W19" t="s">
        <v>11</v>
      </c>
      <c r="X19">
        <v>382</v>
      </c>
      <c r="Y19">
        <v>0</v>
      </c>
      <c r="Z19" t="s">
        <v>34</v>
      </c>
      <c r="AA19" t="b">
        <v>0</v>
      </c>
      <c r="AB19">
        <v>-6.5406649999999997</v>
      </c>
      <c r="AC19">
        <v>-0.86451900000000004</v>
      </c>
      <c r="AE19" t="s">
        <v>23</v>
      </c>
      <c r="AF19" t="s">
        <v>11</v>
      </c>
      <c r="AG19">
        <v>382</v>
      </c>
      <c r="AH19">
        <v>0</v>
      </c>
      <c r="AI19" t="s">
        <v>34</v>
      </c>
      <c r="AJ19" t="b">
        <v>0</v>
      </c>
      <c r="AK19">
        <v>-6.0430060000000001</v>
      </c>
      <c r="AL19">
        <v>-0.86684099999999997</v>
      </c>
      <c r="AN19" t="s">
        <v>23</v>
      </c>
      <c r="AO19" t="s">
        <v>11</v>
      </c>
      <c r="AP19">
        <v>382</v>
      </c>
      <c r="AQ19">
        <v>0</v>
      </c>
      <c r="AR19" t="s">
        <v>34</v>
      </c>
      <c r="AS19" t="b">
        <v>0</v>
      </c>
      <c r="AT19">
        <v>-6.0430060000000001</v>
      </c>
      <c r="AU19">
        <v>-0.86684099999999997</v>
      </c>
      <c r="BF19" s="4" t="s">
        <v>44</v>
      </c>
      <c r="BG19" s="4"/>
      <c r="BH19" s="4"/>
      <c r="BI19" s="4"/>
      <c r="BJ19" s="4"/>
      <c r="BK19" s="4"/>
      <c r="BL19" s="4"/>
      <c r="BM19" s="4"/>
      <c r="BO19" t="s">
        <v>23</v>
      </c>
      <c r="BP19" t="s">
        <v>11</v>
      </c>
      <c r="BQ19">
        <v>382</v>
      </c>
      <c r="BR19">
        <v>0</v>
      </c>
      <c r="BS19" t="s">
        <v>34</v>
      </c>
      <c r="BT19" t="b">
        <v>0</v>
      </c>
      <c r="BU19">
        <v>-16.382902999999999</v>
      </c>
      <c r="BV19">
        <v>-0.86451900000000004</v>
      </c>
      <c r="BX19" t="s">
        <v>23</v>
      </c>
      <c r="BY19" t="s">
        <v>11</v>
      </c>
      <c r="BZ19">
        <v>382</v>
      </c>
      <c r="CA19">
        <v>0</v>
      </c>
      <c r="CB19" t="s">
        <v>34</v>
      </c>
      <c r="CC19" t="b">
        <v>0</v>
      </c>
      <c r="CD19">
        <v>-7.4051840000000002</v>
      </c>
      <c r="CE19">
        <v>0</v>
      </c>
      <c r="CF19">
        <f t="shared" si="1"/>
        <v>0</v>
      </c>
      <c r="DI19" t="s">
        <v>23</v>
      </c>
      <c r="DJ19" t="s">
        <v>11</v>
      </c>
      <c r="DK19">
        <v>382</v>
      </c>
      <c r="DL19">
        <v>0</v>
      </c>
      <c r="DM19" t="s">
        <v>34</v>
      </c>
      <c r="DN19" t="b">
        <v>0</v>
      </c>
      <c r="DO19">
        <v>-6.5406649999999997</v>
      </c>
      <c r="DP19">
        <v>-0.86451900000000004</v>
      </c>
      <c r="DR19" t="s">
        <v>23</v>
      </c>
      <c r="DS19" t="s">
        <v>11</v>
      </c>
      <c r="DT19">
        <v>382</v>
      </c>
      <c r="DU19">
        <v>0</v>
      </c>
      <c r="DV19" t="s">
        <v>34</v>
      </c>
      <c r="DW19" t="b">
        <v>0</v>
      </c>
      <c r="DX19">
        <v>-16.437495999999999</v>
      </c>
      <c r="DY19">
        <v>-0.86451900000000004</v>
      </c>
      <c r="DZ19">
        <v>-17.301994090502703</v>
      </c>
      <c r="EA19" s="8">
        <f t="shared" si="2"/>
        <v>2.0909497298049473E-5</v>
      </c>
    </row>
    <row r="20" spans="2:131">
      <c r="B20" t="s">
        <v>29</v>
      </c>
      <c r="C20" t="s">
        <v>11</v>
      </c>
      <c r="D20">
        <v>368</v>
      </c>
      <c r="E20">
        <v>0</v>
      </c>
      <c r="F20" t="s">
        <v>30</v>
      </c>
      <c r="G20" t="b">
        <v>1</v>
      </c>
      <c r="H20">
        <v>-1.4130210000000001</v>
      </c>
      <c r="I20">
        <v>-1.1374040000000001</v>
      </c>
      <c r="J20">
        <v>-2.5504131132793475</v>
      </c>
      <c r="K20">
        <f t="shared" si="0"/>
        <v>1.1886720652665161E-5</v>
      </c>
      <c r="M20" t="s">
        <v>29</v>
      </c>
      <c r="N20" t="s">
        <v>11</v>
      </c>
      <c r="O20">
        <v>368</v>
      </c>
      <c r="P20">
        <v>0</v>
      </c>
      <c r="Q20" t="s">
        <v>30</v>
      </c>
      <c r="R20" t="b">
        <v>1</v>
      </c>
      <c r="S20">
        <v>-1.4130210000000001</v>
      </c>
      <c r="T20">
        <v>-1.1374040000000001</v>
      </c>
      <c r="V20" t="s">
        <v>29</v>
      </c>
      <c r="W20" t="s">
        <v>11</v>
      </c>
      <c r="X20">
        <v>368</v>
      </c>
      <c r="Y20">
        <v>0</v>
      </c>
      <c r="Z20" t="s">
        <v>30</v>
      </c>
      <c r="AA20" t="b">
        <v>1</v>
      </c>
      <c r="AB20">
        <v>-1.4130210000000001</v>
      </c>
      <c r="AC20">
        <v>-1.1374040000000001</v>
      </c>
      <c r="AE20" t="s">
        <v>29</v>
      </c>
      <c r="AF20" t="s">
        <v>11</v>
      </c>
      <c r="AG20">
        <v>368</v>
      </c>
      <c r="AH20">
        <v>0</v>
      </c>
      <c r="AI20" t="s">
        <v>30</v>
      </c>
      <c r="AJ20" t="b">
        <v>1</v>
      </c>
      <c r="AK20">
        <v>-0.92885300000000004</v>
      </c>
      <c r="AL20">
        <v>-1.14255</v>
      </c>
      <c r="AN20" t="s">
        <v>29</v>
      </c>
      <c r="AO20" t="s">
        <v>11</v>
      </c>
      <c r="AP20">
        <v>368</v>
      </c>
      <c r="AQ20">
        <v>0</v>
      </c>
      <c r="AR20" t="s">
        <v>30</v>
      </c>
      <c r="AS20" t="b">
        <v>1</v>
      </c>
      <c r="AT20">
        <v>-0.92885300000000004</v>
      </c>
      <c r="AU20">
        <v>-1.14255</v>
      </c>
      <c r="BF20" t="s">
        <v>39</v>
      </c>
      <c r="BG20" t="s">
        <v>40</v>
      </c>
      <c r="BH20" t="s">
        <v>41</v>
      </c>
      <c r="BO20" t="s">
        <v>29</v>
      </c>
      <c r="BP20" t="s">
        <v>11</v>
      </c>
      <c r="BQ20">
        <v>368</v>
      </c>
      <c r="BR20">
        <v>0</v>
      </c>
      <c r="BS20" t="s">
        <v>30</v>
      </c>
      <c r="BT20" t="b">
        <v>1</v>
      </c>
      <c r="BU20">
        <v>-9.1637690000000003</v>
      </c>
      <c r="BV20">
        <v>-1.1374040000000001</v>
      </c>
      <c r="BX20" t="s">
        <v>29</v>
      </c>
      <c r="BY20" t="s">
        <v>11</v>
      </c>
      <c r="BZ20">
        <v>368</v>
      </c>
      <c r="CA20">
        <v>0</v>
      </c>
      <c r="CB20" t="s">
        <v>30</v>
      </c>
      <c r="CC20" t="b">
        <v>1</v>
      </c>
      <c r="CD20">
        <v>-2.5504250000000002</v>
      </c>
      <c r="CE20">
        <v>0</v>
      </c>
      <c r="CF20">
        <f t="shared" si="1"/>
        <v>0</v>
      </c>
      <c r="DI20" t="s">
        <v>29</v>
      </c>
      <c r="DJ20" t="s">
        <v>11</v>
      </c>
      <c r="DK20">
        <v>368</v>
      </c>
      <c r="DL20">
        <v>0</v>
      </c>
      <c r="DM20" t="s">
        <v>30</v>
      </c>
      <c r="DN20" t="b">
        <v>1</v>
      </c>
      <c r="DO20">
        <v>-1.4130210000000001</v>
      </c>
      <c r="DP20">
        <v>-1.1374040000000001</v>
      </c>
      <c r="DR20" t="s">
        <v>29</v>
      </c>
      <c r="DS20" t="s">
        <v>11</v>
      </c>
      <c r="DT20">
        <v>368</v>
      </c>
      <c r="DU20">
        <v>0</v>
      </c>
      <c r="DV20" t="s">
        <v>30</v>
      </c>
      <c r="DW20" t="b">
        <v>1</v>
      </c>
      <c r="DX20">
        <v>-9.1577439999999992</v>
      </c>
      <c r="DY20">
        <v>-1.1374040000000001</v>
      </c>
      <c r="DZ20">
        <v>-8.8510103716135262</v>
      </c>
      <c r="EA20" s="8"/>
    </row>
    <row r="21" spans="2:131"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BF21" t="s">
        <v>2</v>
      </c>
      <c r="BG21" t="s">
        <v>3</v>
      </c>
      <c r="BH21" t="s">
        <v>4</v>
      </c>
      <c r="BI21" t="s">
        <v>5</v>
      </c>
      <c r="BJ21" t="s">
        <v>6</v>
      </c>
      <c r="BK21" t="s">
        <v>7</v>
      </c>
      <c r="BL21" t="s">
        <v>8</v>
      </c>
      <c r="BM21" t="s">
        <v>9</v>
      </c>
      <c r="DI21" t="s">
        <v>60</v>
      </c>
      <c r="DJ21" t="s">
        <v>11</v>
      </c>
      <c r="DK21">
        <v>9176</v>
      </c>
      <c r="DL21">
        <v>0</v>
      </c>
      <c r="DM21" t="s">
        <v>61</v>
      </c>
      <c r="DN21" t="b">
        <v>0</v>
      </c>
      <c r="DO21">
        <v>-4.0877239999999997</v>
      </c>
      <c r="DP21">
        <v>0</v>
      </c>
      <c r="EA21" s="8"/>
    </row>
    <row r="22" spans="2:131">
      <c r="B22" s="4" t="s">
        <v>1</v>
      </c>
      <c r="C22" s="4"/>
      <c r="D22" s="4"/>
      <c r="E22" s="4"/>
      <c r="F22" s="4"/>
      <c r="G22" s="4"/>
      <c r="H22" s="4"/>
      <c r="I22" s="4"/>
      <c r="J22" s="2"/>
      <c r="K22" s="2"/>
      <c r="L22" s="2"/>
      <c r="M22" s="4" t="s">
        <v>1</v>
      </c>
      <c r="N22" s="4"/>
      <c r="O22" s="4"/>
      <c r="P22" s="4"/>
      <c r="Q22" s="4"/>
      <c r="R22" s="4"/>
      <c r="S22" s="4"/>
      <c r="T22" s="4"/>
      <c r="U22" s="2"/>
      <c r="V22" s="4" t="s">
        <v>53</v>
      </c>
      <c r="W22" s="4"/>
      <c r="X22" s="4"/>
      <c r="Y22" s="4"/>
      <c r="Z22" s="4"/>
      <c r="AA22" s="4"/>
      <c r="AB22" s="4"/>
      <c r="AC22" s="4"/>
      <c r="AE22" s="4" t="s">
        <v>37</v>
      </c>
      <c r="AF22" s="4"/>
      <c r="AG22" s="4"/>
      <c r="AH22" s="4"/>
      <c r="AI22" s="4"/>
      <c r="AJ22" s="4"/>
      <c r="AK22" s="4"/>
      <c r="AL22" s="4"/>
      <c r="AM22" s="2"/>
      <c r="AN22" s="4" t="s">
        <v>56</v>
      </c>
      <c r="AO22" s="4"/>
      <c r="AP22" s="4"/>
      <c r="AQ22" s="4"/>
      <c r="AR22" s="4"/>
      <c r="AS22" s="4"/>
      <c r="AT22" s="4"/>
      <c r="AU22" s="4"/>
      <c r="AV22" s="1"/>
      <c r="AW22" s="4" t="s">
        <v>1</v>
      </c>
      <c r="AX22" s="4"/>
      <c r="AY22" s="4"/>
      <c r="AZ22" s="4"/>
      <c r="BA22" s="4"/>
      <c r="BB22" s="4"/>
      <c r="BC22" s="4"/>
      <c r="BD22" s="4"/>
      <c r="BF22" t="s">
        <v>10</v>
      </c>
      <c r="BG22" t="s">
        <v>11</v>
      </c>
      <c r="BH22">
        <v>253</v>
      </c>
      <c r="BI22">
        <v>0</v>
      </c>
      <c r="BJ22" t="s">
        <v>12</v>
      </c>
      <c r="BK22" t="b">
        <v>0</v>
      </c>
      <c r="BL22">
        <v>-4.227665</v>
      </c>
      <c r="BM22">
        <v>-0.78520199999999996</v>
      </c>
      <c r="BO22" s="4" t="s">
        <v>1</v>
      </c>
      <c r="BP22" s="4"/>
      <c r="BQ22" s="4"/>
      <c r="BR22" s="4"/>
      <c r="BS22" s="4"/>
      <c r="BT22" s="4"/>
      <c r="BU22" s="4"/>
      <c r="BV22" s="4"/>
      <c r="BX22" s="4" t="s">
        <v>1</v>
      </c>
      <c r="BY22" s="4"/>
      <c r="BZ22" s="4"/>
      <c r="CA22" s="4"/>
      <c r="CB22" s="4"/>
      <c r="CC22" s="4"/>
      <c r="CD22" s="4"/>
      <c r="CE22" s="4"/>
      <c r="DR22" s="4" t="s">
        <v>1</v>
      </c>
      <c r="DS22" s="4"/>
      <c r="DT22" s="4"/>
      <c r="DU22" s="4"/>
      <c r="DV22" s="4"/>
      <c r="DW22" s="4"/>
      <c r="DX22" s="4"/>
      <c r="DY22" s="4"/>
      <c r="EA22" s="8"/>
    </row>
    <row r="23" spans="2:131">
      <c r="B23" t="s">
        <v>2</v>
      </c>
      <c r="C23" t="s">
        <v>3</v>
      </c>
      <c r="D23" t="s">
        <v>4</v>
      </c>
      <c r="E23" t="s">
        <v>5</v>
      </c>
      <c r="F23" t="s">
        <v>6</v>
      </c>
      <c r="G23" t="s">
        <v>7</v>
      </c>
      <c r="H23" t="s">
        <v>8</v>
      </c>
      <c r="I23" t="s">
        <v>9</v>
      </c>
      <c r="M23" t="s">
        <v>2</v>
      </c>
      <c r="N23" t="s">
        <v>3</v>
      </c>
      <c r="O23" t="s">
        <v>4</v>
      </c>
      <c r="P23" t="s">
        <v>5</v>
      </c>
      <c r="Q23" t="s">
        <v>6</v>
      </c>
      <c r="R23" t="s">
        <v>7</v>
      </c>
      <c r="S23" t="s">
        <v>8</v>
      </c>
      <c r="T23" t="s">
        <v>9</v>
      </c>
      <c r="V23" t="s">
        <v>2</v>
      </c>
      <c r="W23" t="s">
        <v>3</v>
      </c>
      <c r="X23" t="s">
        <v>4</v>
      </c>
      <c r="Y23" t="s">
        <v>5</v>
      </c>
      <c r="Z23" t="s">
        <v>6</v>
      </c>
      <c r="AA23" t="s">
        <v>7</v>
      </c>
      <c r="AB23" t="s">
        <v>8</v>
      </c>
      <c r="AC23" t="s">
        <v>9</v>
      </c>
      <c r="AE23" t="s">
        <v>2</v>
      </c>
      <c r="AF23" t="s">
        <v>3</v>
      </c>
      <c r="AG23" t="s">
        <v>4</v>
      </c>
      <c r="AH23" t="s">
        <v>5</v>
      </c>
      <c r="AI23" t="s">
        <v>6</v>
      </c>
      <c r="AJ23" t="s">
        <v>7</v>
      </c>
      <c r="AK23" t="s">
        <v>8</v>
      </c>
      <c r="AL23" t="s">
        <v>9</v>
      </c>
      <c r="AN23" t="s">
        <v>2</v>
      </c>
      <c r="AO23" t="s">
        <v>3</v>
      </c>
      <c r="AP23" t="s">
        <v>4</v>
      </c>
      <c r="AQ23" t="s">
        <v>5</v>
      </c>
      <c r="AR23" t="s">
        <v>6</v>
      </c>
      <c r="AS23" t="s">
        <v>7</v>
      </c>
      <c r="AT23" t="s">
        <v>8</v>
      </c>
      <c r="AU23" t="s">
        <v>9</v>
      </c>
      <c r="AW23" t="s">
        <v>2</v>
      </c>
      <c r="AX23" t="s">
        <v>3</v>
      </c>
      <c r="AY23" t="s">
        <v>4</v>
      </c>
      <c r="AZ23" t="s">
        <v>5</v>
      </c>
      <c r="BA23" t="s">
        <v>6</v>
      </c>
      <c r="BB23" t="s">
        <v>7</v>
      </c>
      <c r="BC23" t="s">
        <v>8</v>
      </c>
      <c r="BD23" t="s">
        <v>9</v>
      </c>
      <c r="BF23" t="s">
        <v>14</v>
      </c>
      <c r="BG23" t="s">
        <v>11</v>
      </c>
      <c r="BH23">
        <v>269</v>
      </c>
      <c r="BI23">
        <v>0</v>
      </c>
      <c r="BJ23" t="s">
        <v>15</v>
      </c>
      <c r="BK23" t="b">
        <v>0</v>
      </c>
      <c r="BL23">
        <v>-2.4145759999999998</v>
      </c>
      <c r="BM23">
        <v>-0.72265800000000002</v>
      </c>
      <c r="BO23" t="s">
        <v>2</v>
      </c>
      <c r="BP23" t="s">
        <v>3</v>
      </c>
      <c r="BQ23" t="s">
        <v>4</v>
      </c>
      <c r="BR23" t="s">
        <v>5</v>
      </c>
      <c r="BS23" t="s">
        <v>6</v>
      </c>
      <c r="BT23" t="s">
        <v>7</v>
      </c>
      <c r="BU23" t="s">
        <v>8</v>
      </c>
      <c r="BV23" t="s">
        <v>9</v>
      </c>
      <c r="BX23" t="s">
        <v>2</v>
      </c>
      <c r="BY23" t="s">
        <v>3</v>
      </c>
      <c r="BZ23" t="s">
        <v>4</v>
      </c>
      <c r="CA23" t="s">
        <v>5</v>
      </c>
      <c r="CB23" t="s">
        <v>6</v>
      </c>
      <c r="CC23" t="s">
        <v>7</v>
      </c>
      <c r="CD23" t="s">
        <v>8</v>
      </c>
      <c r="CE23" t="s">
        <v>9</v>
      </c>
      <c r="DI23" s="4" t="s">
        <v>1</v>
      </c>
      <c r="DJ23" s="4"/>
      <c r="DK23" s="4"/>
      <c r="DL23" s="4"/>
      <c r="DM23" s="4"/>
      <c r="DN23" s="4"/>
      <c r="DO23" s="4"/>
      <c r="DP23" s="4"/>
      <c r="DR23" t="s">
        <v>2</v>
      </c>
      <c r="DS23" t="s">
        <v>3</v>
      </c>
      <c r="DT23" t="s">
        <v>4</v>
      </c>
      <c r="DU23" t="s">
        <v>5</v>
      </c>
      <c r="DV23" t="s">
        <v>6</v>
      </c>
      <c r="DW23" t="s">
        <v>7</v>
      </c>
      <c r="DX23" t="s">
        <v>8</v>
      </c>
      <c r="DY23" t="s">
        <v>9</v>
      </c>
      <c r="EA23" s="8"/>
    </row>
    <row r="24" spans="2:131">
      <c r="B24" t="s">
        <v>10</v>
      </c>
      <c r="C24" t="s">
        <v>11</v>
      </c>
      <c r="D24">
        <v>253</v>
      </c>
      <c r="E24">
        <v>0</v>
      </c>
      <c r="F24" t="s">
        <v>12</v>
      </c>
      <c r="G24" t="b">
        <v>0</v>
      </c>
      <c r="H24">
        <v>-3.7181769999999998</v>
      </c>
      <c r="I24">
        <v>-0.80719600000000002</v>
      </c>
      <c r="M24" t="s">
        <v>10</v>
      </c>
      <c r="N24" t="s">
        <v>11</v>
      </c>
      <c r="O24">
        <v>253</v>
      </c>
      <c r="P24">
        <v>0</v>
      </c>
      <c r="Q24" t="s">
        <v>12</v>
      </c>
      <c r="R24" t="b">
        <v>0</v>
      </c>
      <c r="S24">
        <v>-3.7181769999999998</v>
      </c>
      <c r="T24">
        <v>-0.80719600000000002</v>
      </c>
      <c r="V24" t="s">
        <v>10</v>
      </c>
      <c r="W24" t="s">
        <v>11</v>
      </c>
      <c r="X24">
        <v>253</v>
      </c>
      <c r="Y24">
        <v>0</v>
      </c>
      <c r="Z24" t="s">
        <v>12</v>
      </c>
      <c r="AA24" t="b">
        <v>0</v>
      </c>
      <c r="AB24">
        <v>-3.7181769999999998</v>
      </c>
      <c r="AC24">
        <v>-0.80719600000000002</v>
      </c>
      <c r="AE24" t="s">
        <v>10</v>
      </c>
      <c r="AF24" t="s">
        <v>11</v>
      </c>
      <c r="AG24">
        <v>253</v>
      </c>
      <c r="AH24">
        <v>0</v>
      </c>
      <c r="AI24" t="s">
        <v>12</v>
      </c>
      <c r="AJ24" t="b">
        <v>0</v>
      </c>
      <c r="AK24">
        <v>-2.9110239999999998</v>
      </c>
      <c r="AL24">
        <v>-0.78927400000000003</v>
      </c>
      <c r="AN24" t="s">
        <v>10</v>
      </c>
      <c r="AO24" t="s">
        <v>11</v>
      </c>
      <c r="AP24">
        <v>253</v>
      </c>
      <c r="AQ24">
        <v>0</v>
      </c>
      <c r="AR24" t="s">
        <v>12</v>
      </c>
      <c r="AS24" t="b">
        <v>0</v>
      </c>
      <c r="AT24">
        <v>-2.9110239999999998</v>
      </c>
      <c r="AU24">
        <v>-0.78927400000000003</v>
      </c>
      <c r="AW24" t="s">
        <v>10</v>
      </c>
      <c r="AX24" t="s">
        <v>11</v>
      </c>
      <c r="AY24">
        <v>253</v>
      </c>
      <c r="AZ24">
        <v>0</v>
      </c>
      <c r="BA24" t="s">
        <v>12</v>
      </c>
      <c r="BB24" t="b">
        <v>0</v>
      </c>
      <c r="BC24">
        <v>-3.7181769999999998</v>
      </c>
      <c r="BD24">
        <v>-0.80719600000000002</v>
      </c>
      <c r="BF24" t="s">
        <v>16</v>
      </c>
      <c r="BG24" t="s">
        <v>11</v>
      </c>
      <c r="BH24">
        <v>271</v>
      </c>
      <c r="BI24" t="s">
        <v>18</v>
      </c>
      <c r="BJ24" t="s">
        <v>17</v>
      </c>
      <c r="BK24" t="b">
        <v>0</v>
      </c>
      <c r="BL24">
        <v>-9.1092130000000004</v>
      </c>
      <c r="BM24">
        <v>-0.81338299999999997</v>
      </c>
      <c r="BO24" t="s">
        <v>10</v>
      </c>
      <c r="BP24" t="s">
        <v>11</v>
      </c>
      <c r="BQ24">
        <v>253</v>
      </c>
      <c r="BR24">
        <v>0</v>
      </c>
      <c r="BS24" t="s">
        <v>12</v>
      </c>
      <c r="BT24" t="b">
        <v>0</v>
      </c>
      <c r="BU24">
        <v>-13.787070999999999</v>
      </c>
      <c r="BV24">
        <v>-0.80719600000000002</v>
      </c>
      <c r="BX24" t="s">
        <v>10</v>
      </c>
      <c r="BY24" t="s">
        <v>11</v>
      </c>
      <c r="BZ24">
        <v>253</v>
      </c>
      <c r="CA24">
        <v>0</v>
      </c>
      <c r="CB24" t="s">
        <v>12</v>
      </c>
      <c r="CC24" t="b">
        <v>0</v>
      </c>
      <c r="CD24">
        <v>-4.5253730000000001</v>
      </c>
      <c r="CE24">
        <v>0</v>
      </c>
      <c r="CF24">
        <f t="shared" si="1"/>
        <v>0</v>
      </c>
      <c r="DI24" t="s">
        <v>2</v>
      </c>
      <c r="DJ24" t="s">
        <v>3</v>
      </c>
      <c r="DK24" t="s">
        <v>4</v>
      </c>
      <c r="DL24" t="s">
        <v>5</v>
      </c>
      <c r="DM24" t="s">
        <v>6</v>
      </c>
      <c r="DN24" t="s">
        <v>7</v>
      </c>
      <c r="DO24" t="s">
        <v>8</v>
      </c>
      <c r="DP24" t="s">
        <v>9</v>
      </c>
      <c r="DR24" t="s">
        <v>10</v>
      </c>
      <c r="DS24" t="s">
        <v>11</v>
      </c>
      <c r="DT24">
        <v>253</v>
      </c>
      <c r="DU24">
        <v>0</v>
      </c>
      <c r="DV24" t="s">
        <v>12</v>
      </c>
      <c r="DW24" t="b">
        <v>0</v>
      </c>
      <c r="DX24">
        <v>-13.787070999999999</v>
      </c>
      <c r="DY24">
        <v>-0.80719600000000002</v>
      </c>
      <c r="DZ24">
        <v>-14.594297731367726</v>
      </c>
      <c r="EA24" s="8">
        <f t="shared" si="2"/>
        <v>-3.0731367727909742E-5</v>
      </c>
    </row>
    <row r="25" spans="2:131">
      <c r="B25" t="s">
        <v>10</v>
      </c>
      <c r="C25" t="s">
        <v>11</v>
      </c>
      <c r="D25">
        <v>253</v>
      </c>
      <c r="E25" t="s">
        <v>13</v>
      </c>
      <c r="F25" t="s">
        <v>12</v>
      </c>
      <c r="G25" t="b">
        <v>0</v>
      </c>
      <c r="H25">
        <v>-11.938196</v>
      </c>
      <c r="I25">
        <v>-0.80719600000000002</v>
      </c>
      <c r="M25" t="s">
        <v>10</v>
      </c>
      <c r="N25" t="s">
        <v>11</v>
      </c>
      <c r="O25">
        <v>253</v>
      </c>
      <c r="P25" t="s">
        <v>13</v>
      </c>
      <c r="Q25" t="s">
        <v>12</v>
      </c>
      <c r="R25" t="b">
        <v>0</v>
      </c>
      <c r="S25">
        <v>-11.938196</v>
      </c>
      <c r="T25">
        <v>-0.80719600000000002</v>
      </c>
      <c r="V25" t="s">
        <v>10</v>
      </c>
      <c r="W25" t="s">
        <v>11</v>
      </c>
      <c r="X25">
        <v>253</v>
      </c>
      <c r="Y25" t="s">
        <v>13</v>
      </c>
      <c r="Z25" t="s">
        <v>12</v>
      </c>
      <c r="AA25" t="b">
        <v>0</v>
      </c>
      <c r="AB25">
        <v>-11.938196</v>
      </c>
      <c r="AC25">
        <v>-0.80719600000000002</v>
      </c>
      <c r="AE25" t="s">
        <v>10</v>
      </c>
      <c r="AF25" t="s">
        <v>11</v>
      </c>
      <c r="AG25">
        <v>253</v>
      </c>
      <c r="AH25" t="s">
        <v>13</v>
      </c>
      <c r="AI25" t="s">
        <v>12</v>
      </c>
      <c r="AJ25" t="b">
        <v>0</v>
      </c>
      <c r="AK25">
        <v>-12.039488</v>
      </c>
      <c r="AL25">
        <v>-0.78927400000000003</v>
      </c>
      <c r="AN25" t="s">
        <v>10</v>
      </c>
      <c r="AO25" t="s">
        <v>11</v>
      </c>
      <c r="AP25">
        <v>253</v>
      </c>
      <c r="AQ25" t="s">
        <v>13</v>
      </c>
      <c r="AR25" t="s">
        <v>12</v>
      </c>
      <c r="AS25" t="b">
        <v>0</v>
      </c>
      <c r="AT25">
        <v>-12.039488</v>
      </c>
      <c r="AU25">
        <v>-0.78927400000000003</v>
      </c>
      <c r="AW25" t="s">
        <v>14</v>
      </c>
      <c r="AX25" t="s">
        <v>11</v>
      </c>
      <c r="AY25">
        <v>269</v>
      </c>
      <c r="AZ25">
        <v>0</v>
      </c>
      <c r="BA25" t="s">
        <v>15</v>
      </c>
      <c r="BB25" t="b">
        <v>0</v>
      </c>
      <c r="BC25">
        <v>-2.053169</v>
      </c>
      <c r="BD25">
        <v>-1.1769940000000001</v>
      </c>
      <c r="BF25" t="s">
        <v>19</v>
      </c>
      <c r="BG25" t="s">
        <v>11</v>
      </c>
      <c r="BH25">
        <v>315</v>
      </c>
      <c r="BI25">
        <v>0</v>
      </c>
      <c r="BJ25" t="s">
        <v>20</v>
      </c>
      <c r="BK25" t="b">
        <v>0</v>
      </c>
      <c r="BL25">
        <v>-3.0004439999999999</v>
      </c>
      <c r="BM25">
        <v>-0.74414400000000003</v>
      </c>
      <c r="BO25" t="s">
        <v>10</v>
      </c>
      <c r="BP25" t="s">
        <v>11</v>
      </c>
      <c r="BQ25">
        <v>253</v>
      </c>
      <c r="BR25" t="s">
        <v>13</v>
      </c>
      <c r="BS25" t="s">
        <v>12</v>
      </c>
      <c r="BT25" t="b">
        <v>0</v>
      </c>
      <c r="BU25">
        <v>-20.801016000000001</v>
      </c>
      <c r="BV25">
        <v>-0.80719600000000002</v>
      </c>
      <c r="BX25" t="s">
        <v>10</v>
      </c>
      <c r="BY25" t="s">
        <v>11</v>
      </c>
      <c r="BZ25">
        <v>253</v>
      </c>
      <c r="CA25" t="s">
        <v>13</v>
      </c>
      <c r="CB25" t="s">
        <v>12</v>
      </c>
      <c r="CC25" t="b">
        <v>0</v>
      </c>
      <c r="CD25">
        <v>-12.745392000000001</v>
      </c>
      <c r="CE25">
        <v>0</v>
      </c>
      <c r="CF25">
        <f t="shared" si="1"/>
        <v>-1.1102230246251565E-15</v>
      </c>
      <c r="DI25" t="s">
        <v>10</v>
      </c>
      <c r="DJ25" t="s">
        <v>11</v>
      </c>
      <c r="DK25">
        <v>253</v>
      </c>
      <c r="DL25">
        <v>0</v>
      </c>
      <c r="DM25" t="s">
        <v>12</v>
      </c>
      <c r="DN25" t="b">
        <v>0</v>
      </c>
      <c r="DO25">
        <v>-3.7181769999999998</v>
      </c>
      <c r="DP25">
        <v>-0.80719600000000002</v>
      </c>
      <c r="DR25" t="s">
        <v>10</v>
      </c>
      <c r="DS25" t="s">
        <v>11</v>
      </c>
      <c r="DT25">
        <v>253</v>
      </c>
      <c r="DU25" t="s">
        <v>13</v>
      </c>
      <c r="DV25" t="s">
        <v>12</v>
      </c>
      <c r="DW25" t="b">
        <v>0</v>
      </c>
      <c r="DX25">
        <v>-20.800953</v>
      </c>
      <c r="DY25">
        <v>-0.80719600000000002</v>
      </c>
      <c r="DZ25">
        <v>-21.608187046943041</v>
      </c>
      <c r="EA25" s="8">
        <f t="shared" si="2"/>
        <v>-3.8046943039660164E-5</v>
      </c>
    </row>
    <row r="26" spans="2:131">
      <c r="B26" t="s">
        <v>14</v>
      </c>
      <c r="C26" t="s">
        <v>11</v>
      </c>
      <c r="D26">
        <v>269</v>
      </c>
      <c r="E26">
        <v>0</v>
      </c>
      <c r="F26" t="s">
        <v>15</v>
      </c>
      <c r="G26" t="b">
        <v>0</v>
      </c>
      <c r="H26">
        <v>-2.053169</v>
      </c>
      <c r="I26">
        <v>-1.1769940000000001</v>
      </c>
      <c r="M26" t="s">
        <v>14</v>
      </c>
      <c r="N26" t="s">
        <v>11</v>
      </c>
      <c r="O26">
        <v>269</v>
      </c>
      <c r="P26">
        <v>0</v>
      </c>
      <c r="Q26" t="s">
        <v>15</v>
      </c>
      <c r="R26" t="b">
        <v>0</v>
      </c>
      <c r="S26">
        <v>-2.053169</v>
      </c>
      <c r="T26">
        <v>-1.1769940000000001</v>
      </c>
      <c r="V26" t="s">
        <v>14</v>
      </c>
      <c r="W26" t="s">
        <v>11</v>
      </c>
      <c r="X26">
        <v>269</v>
      </c>
      <c r="Y26">
        <v>0</v>
      </c>
      <c r="Z26" t="s">
        <v>15</v>
      </c>
      <c r="AA26" t="b">
        <v>0</v>
      </c>
      <c r="AB26">
        <v>-2.053169</v>
      </c>
      <c r="AC26">
        <v>-1.1769940000000001</v>
      </c>
      <c r="AE26" t="s">
        <v>14</v>
      </c>
      <c r="AF26" t="s">
        <v>11</v>
      </c>
      <c r="AG26">
        <v>269</v>
      </c>
      <c r="AH26">
        <v>0</v>
      </c>
      <c r="AI26" t="s">
        <v>15</v>
      </c>
      <c r="AJ26" t="b">
        <v>0</v>
      </c>
      <c r="AK26">
        <v>-1.6507590000000001</v>
      </c>
      <c r="AL26">
        <v>-1.271798</v>
      </c>
      <c r="AN26" t="s">
        <v>14</v>
      </c>
      <c r="AO26" t="s">
        <v>11</v>
      </c>
      <c r="AP26">
        <v>269</v>
      </c>
      <c r="AQ26">
        <v>0</v>
      </c>
      <c r="AR26" t="s">
        <v>15</v>
      </c>
      <c r="AS26" t="b">
        <v>0</v>
      </c>
      <c r="AT26">
        <v>-1.6507590000000001</v>
      </c>
      <c r="AU26">
        <v>-1.271798</v>
      </c>
      <c r="AW26" t="s">
        <v>16</v>
      </c>
      <c r="AX26" t="s">
        <v>11</v>
      </c>
      <c r="AY26">
        <v>271</v>
      </c>
      <c r="AZ26" t="s">
        <v>18</v>
      </c>
      <c r="BA26" t="s">
        <v>17</v>
      </c>
      <c r="BB26" t="b">
        <v>0</v>
      </c>
      <c r="BC26">
        <v>-10.312688</v>
      </c>
      <c r="BD26">
        <v>-1.020675</v>
      </c>
      <c r="BF26" t="s">
        <v>21</v>
      </c>
      <c r="BG26" t="s">
        <v>11</v>
      </c>
      <c r="BH26">
        <v>316</v>
      </c>
      <c r="BI26" t="s">
        <v>13</v>
      </c>
      <c r="BJ26" t="s">
        <v>22</v>
      </c>
      <c r="BK26" t="b">
        <v>0</v>
      </c>
      <c r="BL26">
        <v>-4.527018</v>
      </c>
      <c r="BM26">
        <v>-0.46211000000000002</v>
      </c>
      <c r="BO26" t="s">
        <v>14</v>
      </c>
      <c r="BP26" t="s">
        <v>11</v>
      </c>
      <c r="BQ26">
        <v>269</v>
      </c>
      <c r="BR26">
        <v>0</v>
      </c>
      <c r="BS26" t="s">
        <v>15</v>
      </c>
      <c r="BT26" t="b">
        <v>0</v>
      </c>
      <c r="BU26">
        <v>-17.073288999999999</v>
      </c>
      <c r="BV26">
        <v>-1.1769940000000001</v>
      </c>
      <c r="BX26" t="s">
        <v>14</v>
      </c>
      <c r="BY26" t="s">
        <v>11</v>
      </c>
      <c r="BZ26">
        <v>269</v>
      </c>
      <c r="CA26">
        <v>0</v>
      </c>
      <c r="CB26" t="s">
        <v>15</v>
      </c>
      <c r="CC26" t="b">
        <v>0</v>
      </c>
      <c r="CD26">
        <v>-3.230162</v>
      </c>
      <c r="CE26">
        <v>0</v>
      </c>
      <c r="CF26">
        <f t="shared" si="1"/>
        <v>1.000000000139778E-6</v>
      </c>
      <c r="DI26" t="s">
        <v>10</v>
      </c>
      <c r="DJ26" t="s">
        <v>11</v>
      </c>
      <c r="DK26">
        <v>253</v>
      </c>
      <c r="DL26" t="s">
        <v>13</v>
      </c>
      <c r="DM26" t="s">
        <v>12</v>
      </c>
      <c r="DN26" t="b">
        <v>0</v>
      </c>
      <c r="DO26">
        <v>-11.938196</v>
      </c>
      <c r="DP26">
        <v>-0.80719600000000002</v>
      </c>
      <c r="DR26" t="s">
        <v>14</v>
      </c>
      <c r="DS26" t="s">
        <v>11</v>
      </c>
      <c r="DT26">
        <v>269</v>
      </c>
      <c r="DU26">
        <v>0</v>
      </c>
      <c r="DV26" t="s">
        <v>15</v>
      </c>
      <c r="DW26" t="b">
        <v>0</v>
      </c>
      <c r="DX26">
        <v>-17.093782999999998</v>
      </c>
      <c r="DY26">
        <v>-1.1769940000000001</v>
      </c>
      <c r="DZ26">
        <v>-18.270804983327729</v>
      </c>
      <c r="EA26" s="8">
        <f t="shared" si="2"/>
        <v>-2.7983327729685925E-5</v>
      </c>
    </row>
    <row r="27" spans="2:131">
      <c r="B27" t="s">
        <v>16</v>
      </c>
      <c r="C27" t="s">
        <v>11</v>
      </c>
      <c r="D27">
        <v>271</v>
      </c>
      <c r="E27">
        <v>0</v>
      </c>
      <c r="F27" t="s">
        <v>17</v>
      </c>
      <c r="G27" t="b">
        <v>0</v>
      </c>
      <c r="H27">
        <v>-5.0249980000000001</v>
      </c>
      <c r="I27">
        <v>-1.020675</v>
      </c>
      <c r="M27" t="s">
        <v>16</v>
      </c>
      <c r="N27" t="s">
        <v>11</v>
      </c>
      <c r="O27">
        <v>271</v>
      </c>
      <c r="P27">
        <v>0</v>
      </c>
      <c r="Q27" t="s">
        <v>17</v>
      </c>
      <c r="R27" t="b">
        <v>0</v>
      </c>
      <c r="S27">
        <v>-5.0249980000000001</v>
      </c>
      <c r="T27">
        <v>-1.020675</v>
      </c>
      <c r="V27" t="s">
        <v>16</v>
      </c>
      <c r="W27" t="s">
        <v>11</v>
      </c>
      <c r="X27">
        <v>271</v>
      </c>
      <c r="Y27">
        <v>0</v>
      </c>
      <c r="Z27" t="s">
        <v>17</v>
      </c>
      <c r="AA27" t="b">
        <v>0</v>
      </c>
      <c r="AB27">
        <v>-5.0249980000000001</v>
      </c>
      <c r="AC27">
        <v>-1.020675</v>
      </c>
      <c r="AE27" t="s">
        <v>16</v>
      </c>
      <c r="AF27" t="s">
        <v>11</v>
      </c>
      <c r="AG27">
        <v>271</v>
      </c>
      <c r="AH27">
        <v>0</v>
      </c>
      <c r="AI27" t="s">
        <v>17</v>
      </c>
      <c r="AJ27" t="b">
        <v>0</v>
      </c>
      <c r="AK27">
        <v>-4.5592350000000001</v>
      </c>
      <c r="AL27">
        <v>-1.0608979999999999</v>
      </c>
      <c r="AN27" t="s">
        <v>16</v>
      </c>
      <c r="AO27" t="s">
        <v>11</v>
      </c>
      <c r="AP27">
        <v>271</v>
      </c>
      <c r="AQ27">
        <v>0</v>
      </c>
      <c r="AR27" t="s">
        <v>17</v>
      </c>
      <c r="AS27" t="b">
        <v>0</v>
      </c>
      <c r="AT27">
        <v>-4.5592350000000001</v>
      </c>
      <c r="AU27">
        <v>-1.0608979999999999</v>
      </c>
      <c r="AW27" t="s">
        <v>19</v>
      </c>
      <c r="AX27" t="s">
        <v>11</v>
      </c>
      <c r="AY27">
        <v>315</v>
      </c>
      <c r="AZ27">
        <v>0</v>
      </c>
      <c r="BA27" t="s">
        <v>20</v>
      </c>
      <c r="BB27" t="b">
        <v>0</v>
      </c>
      <c r="BC27">
        <v>1.3586450000000001</v>
      </c>
      <c r="BD27">
        <v>-0.96530300000000002</v>
      </c>
      <c r="BF27" t="s">
        <v>23</v>
      </c>
      <c r="BG27" t="s">
        <v>11</v>
      </c>
      <c r="BH27">
        <v>317</v>
      </c>
      <c r="BI27">
        <v>0</v>
      </c>
      <c r="BJ27" t="s">
        <v>24</v>
      </c>
      <c r="BK27" t="b">
        <v>0</v>
      </c>
      <c r="BL27">
        <v>-6.0968280000000004</v>
      </c>
      <c r="BM27">
        <v>-3.5416629999999998</v>
      </c>
      <c r="BO27" t="s">
        <v>16</v>
      </c>
      <c r="BP27" t="s">
        <v>11</v>
      </c>
      <c r="BQ27">
        <v>271</v>
      </c>
      <c r="BR27">
        <v>0</v>
      </c>
      <c r="BS27" t="s">
        <v>17</v>
      </c>
      <c r="BT27" t="b">
        <v>0</v>
      </c>
      <c r="BU27">
        <v>-18.313329</v>
      </c>
      <c r="BV27">
        <v>-1.020675</v>
      </c>
      <c r="BX27" t="s">
        <v>16</v>
      </c>
      <c r="BY27" t="s">
        <v>11</v>
      </c>
      <c r="BZ27">
        <v>271</v>
      </c>
      <c r="CA27">
        <v>0</v>
      </c>
      <c r="CB27" t="s">
        <v>17</v>
      </c>
      <c r="CC27" t="b">
        <v>0</v>
      </c>
      <c r="CD27">
        <v>-6.0456719999999997</v>
      </c>
      <c r="CE27">
        <v>0</v>
      </c>
      <c r="CF27">
        <f t="shared" si="1"/>
        <v>1.0000000003618226E-6</v>
      </c>
      <c r="DI27" t="s">
        <v>14</v>
      </c>
      <c r="DJ27" t="s">
        <v>11</v>
      </c>
      <c r="DK27">
        <v>269</v>
      </c>
      <c r="DL27">
        <v>0</v>
      </c>
      <c r="DM27" t="s">
        <v>15</v>
      </c>
      <c r="DN27" t="b">
        <v>0</v>
      </c>
      <c r="DO27">
        <v>-2.053169</v>
      </c>
      <c r="DP27">
        <v>-1.1769940000000001</v>
      </c>
      <c r="DR27" t="s">
        <v>16</v>
      </c>
      <c r="DS27" t="s">
        <v>11</v>
      </c>
      <c r="DT27">
        <v>271</v>
      </c>
      <c r="DU27">
        <v>0</v>
      </c>
      <c r="DV27" t="s">
        <v>17</v>
      </c>
      <c r="DW27" t="b">
        <v>0</v>
      </c>
      <c r="DX27">
        <v>-18.317972999999999</v>
      </c>
      <c r="DY27">
        <v>-1.020675</v>
      </c>
      <c r="DZ27">
        <v>-19.338705362620665</v>
      </c>
      <c r="EA27" s="8">
        <f t="shared" si="2"/>
        <v>-5.73626206659128E-5</v>
      </c>
    </row>
    <row r="28" spans="2:131">
      <c r="B28" t="s">
        <v>16</v>
      </c>
      <c r="C28" t="s">
        <v>11</v>
      </c>
      <c r="D28">
        <v>271</v>
      </c>
      <c r="E28" t="s">
        <v>18</v>
      </c>
      <c r="F28" t="s">
        <v>17</v>
      </c>
      <c r="G28" t="b">
        <v>0</v>
      </c>
      <c r="H28">
        <v>-10.312688</v>
      </c>
      <c r="I28">
        <v>-1.020675</v>
      </c>
      <c r="M28" t="s">
        <v>16</v>
      </c>
      <c r="N28" t="s">
        <v>11</v>
      </c>
      <c r="O28">
        <v>271</v>
      </c>
      <c r="P28" t="s">
        <v>18</v>
      </c>
      <c r="Q28" t="s">
        <v>17</v>
      </c>
      <c r="R28" t="b">
        <v>0</v>
      </c>
      <c r="S28">
        <v>-10.312688</v>
      </c>
      <c r="T28">
        <v>-1.020675</v>
      </c>
      <c r="V28" t="s">
        <v>16</v>
      </c>
      <c r="W28" t="s">
        <v>11</v>
      </c>
      <c r="X28">
        <v>271</v>
      </c>
      <c r="Y28" t="s">
        <v>18</v>
      </c>
      <c r="Z28" t="s">
        <v>17</v>
      </c>
      <c r="AA28" t="b">
        <v>0</v>
      </c>
      <c r="AB28">
        <v>-10.312688</v>
      </c>
      <c r="AC28">
        <v>-1.020675</v>
      </c>
      <c r="AE28" t="s">
        <v>16</v>
      </c>
      <c r="AF28" t="s">
        <v>11</v>
      </c>
      <c r="AG28">
        <v>271</v>
      </c>
      <c r="AH28" t="s">
        <v>18</v>
      </c>
      <c r="AI28" t="s">
        <v>17</v>
      </c>
      <c r="AJ28" t="b">
        <v>0</v>
      </c>
      <c r="AK28">
        <v>-9.7469629999999992</v>
      </c>
      <c r="AL28">
        <v>-1.0608979999999999</v>
      </c>
      <c r="AN28" t="s">
        <v>16</v>
      </c>
      <c r="AO28" t="s">
        <v>11</v>
      </c>
      <c r="AP28">
        <v>271</v>
      </c>
      <c r="AQ28" t="s">
        <v>18</v>
      </c>
      <c r="AR28" t="s">
        <v>17</v>
      </c>
      <c r="AS28" t="b">
        <v>0</v>
      </c>
      <c r="AT28">
        <v>-9.7469629999999992</v>
      </c>
      <c r="AU28">
        <v>-1.0608979999999999</v>
      </c>
      <c r="AW28" t="s">
        <v>21</v>
      </c>
      <c r="AX28" t="s">
        <v>11</v>
      </c>
      <c r="AY28">
        <v>316</v>
      </c>
      <c r="AZ28" t="s">
        <v>13</v>
      </c>
      <c r="BA28" t="s">
        <v>22</v>
      </c>
      <c r="BB28" t="b">
        <v>0</v>
      </c>
      <c r="BC28">
        <v>3.7155339999999999</v>
      </c>
      <c r="BD28">
        <v>-0.99943400000000004</v>
      </c>
      <c r="BF28" t="s">
        <v>25</v>
      </c>
      <c r="BG28" t="s">
        <v>11</v>
      </c>
      <c r="BH28">
        <v>318</v>
      </c>
      <c r="BI28">
        <v>0</v>
      </c>
      <c r="BJ28" t="s">
        <v>26</v>
      </c>
      <c r="BK28" t="b">
        <v>0</v>
      </c>
      <c r="BL28">
        <v>-6.8483020000000003</v>
      </c>
      <c r="BM28">
        <v>-1.423392</v>
      </c>
      <c r="BO28" t="s">
        <v>16</v>
      </c>
      <c r="BP28" t="s">
        <v>11</v>
      </c>
      <c r="BQ28">
        <v>271</v>
      </c>
      <c r="BR28" t="s">
        <v>18</v>
      </c>
      <c r="BS28" t="s">
        <v>17</v>
      </c>
      <c r="BT28" t="b">
        <v>0</v>
      </c>
      <c r="BU28">
        <v>-23.533374999999999</v>
      </c>
      <c r="BV28">
        <v>-1.020675</v>
      </c>
      <c r="BX28" t="s">
        <v>16</v>
      </c>
      <c r="BY28" t="s">
        <v>11</v>
      </c>
      <c r="BZ28">
        <v>271</v>
      </c>
      <c r="CA28" t="s">
        <v>18</v>
      </c>
      <c r="CB28" t="s">
        <v>17</v>
      </c>
      <c r="CC28" t="b">
        <v>0</v>
      </c>
      <c r="CD28">
        <v>-11.333363</v>
      </c>
      <c r="CE28">
        <v>0</v>
      </c>
      <c r="CF28">
        <f t="shared" si="1"/>
        <v>0</v>
      </c>
      <c r="DI28" t="s">
        <v>16</v>
      </c>
      <c r="DJ28" t="s">
        <v>11</v>
      </c>
      <c r="DK28">
        <v>271</v>
      </c>
      <c r="DL28">
        <v>0</v>
      </c>
      <c r="DM28" t="s">
        <v>17</v>
      </c>
      <c r="DN28" t="b">
        <v>0</v>
      </c>
      <c r="DO28">
        <v>-5.0249980000000001</v>
      </c>
      <c r="DP28">
        <v>-1.020675</v>
      </c>
      <c r="DR28" t="s">
        <v>16</v>
      </c>
      <c r="DS28" t="s">
        <v>11</v>
      </c>
      <c r="DT28">
        <v>271</v>
      </c>
      <c r="DU28" t="s">
        <v>18</v>
      </c>
      <c r="DV28" t="s">
        <v>17</v>
      </c>
      <c r="DW28" t="b">
        <v>0</v>
      </c>
      <c r="DX28">
        <v>-23.558475000000001</v>
      </c>
      <c r="DY28">
        <v>-1.020675</v>
      </c>
      <c r="DZ28">
        <v>-24.579113516979465</v>
      </c>
      <c r="EA28" s="8">
        <f t="shared" si="2"/>
        <v>3.6483020537048105E-5</v>
      </c>
    </row>
    <row r="29" spans="2:131">
      <c r="B29" t="s">
        <v>19</v>
      </c>
      <c r="C29" t="s">
        <v>11</v>
      </c>
      <c r="D29">
        <v>315</v>
      </c>
      <c r="E29">
        <v>0</v>
      </c>
      <c r="F29" t="s">
        <v>20</v>
      </c>
      <c r="G29" t="b">
        <v>0</v>
      </c>
      <c r="H29">
        <v>1.3586450000000001</v>
      </c>
      <c r="I29">
        <v>-0.96530300000000002</v>
      </c>
      <c r="M29" t="s">
        <v>19</v>
      </c>
      <c r="N29" t="s">
        <v>11</v>
      </c>
      <c r="O29">
        <v>315</v>
      </c>
      <c r="P29">
        <v>0</v>
      </c>
      <c r="Q29" t="s">
        <v>20</v>
      </c>
      <c r="R29" t="b">
        <v>0</v>
      </c>
      <c r="S29">
        <v>1.3586450000000001</v>
      </c>
      <c r="T29">
        <v>-0.96530300000000002</v>
      </c>
      <c r="V29" t="s">
        <v>19</v>
      </c>
      <c r="W29" t="s">
        <v>11</v>
      </c>
      <c r="X29">
        <v>315</v>
      </c>
      <c r="Y29">
        <v>0</v>
      </c>
      <c r="Z29" t="s">
        <v>20</v>
      </c>
      <c r="AA29" t="b">
        <v>0</v>
      </c>
      <c r="AB29">
        <v>1.3586450000000001</v>
      </c>
      <c r="AC29">
        <v>-0.96530300000000002</v>
      </c>
      <c r="AE29" t="s">
        <v>19</v>
      </c>
      <c r="AF29" t="s">
        <v>11</v>
      </c>
      <c r="AG29">
        <v>315</v>
      </c>
      <c r="AH29">
        <v>0</v>
      </c>
      <c r="AI29" t="s">
        <v>20</v>
      </c>
      <c r="AJ29" t="b">
        <v>0</v>
      </c>
      <c r="AK29">
        <v>1.874088</v>
      </c>
      <c r="AL29">
        <v>-0.98875299999999999</v>
      </c>
      <c r="AN29" t="s">
        <v>19</v>
      </c>
      <c r="AO29" t="s">
        <v>11</v>
      </c>
      <c r="AP29">
        <v>315</v>
      </c>
      <c r="AQ29">
        <v>0</v>
      </c>
      <c r="AR29" t="s">
        <v>20</v>
      </c>
      <c r="AS29" t="b">
        <v>0</v>
      </c>
      <c r="AT29">
        <v>1.874088</v>
      </c>
      <c r="AU29">
        <v>-0.98875299999999999</v>
      </c>
      <c r="AW29" t="s">
        <v>23</v>
      </c>
      <c r="AX29" t="s">
        <v>11</v>
      </c>
      <c r="AY29">
        <v>317</v>
      </c>
      <c r="AZ29">
        <v>0</v>
      </c>
      <c r="BA29" t="s">
        <v>24</v>
      </c>
      <c r="BB29" t="b">
        <v>0</v>
      </c>
      <c r="BC29">
        <v>-5.3490000000000002</v>
      </c>
      <c r="BD29">
        <v>3.7098939999999998</v>
      </c>
      <c r="BF29" t="s">
        <v>27</v>
      </c>
      <c r="BG29" t="s">
        <v>11</v>
      </c>
      <c r="BH29">
        <v>321</v>
      </c>
      <c r="BI29">
        <v>0</v>
      </c>
      <c r="BJ29" t="s">
        <v>28</v>
      </c>
      <c r="BK29" t="b">
        <v>0</v>
      </c>
      <c r="BL29">
        <v>-2.334876</v>
      </c>
      <c r="BM29">
        <v>-1.2473190000000001</v>
      </c>
      <c r="BO29" t="s">
        <v>19</v>
      </c>
      <c r="BP29" t="s">
        <v>11</v>
      </c>
      <c r="BQ29">
        <v>315</v>
      </c>
      <c r="BR29">
        <v>0</v>
      </c>
      <c r="BS29" t="s">
        <v>20</v>
      </c>
      <c r="BT29" t="b">
        <v>0</v>
      </c>
      <c r="BU29">
        <v>-12.592461999999999</v>
      </c>
      <c r="BV29">
        <v>-0.96530300000000002</v>
      </c>
      <c r="BX29" t="s">
        <v>19</v>
      </c>
      <c r="BY29" t="s">
        <v>11</v>
      </c>
      <c r="BZ29">
        <v>315</v>
      </c>
      <c r="CA29">
        <v>0</v>
      </c>
      <c r="CB29" t="s">
        <v>20</v>
      </c>
      <c r="CC29" t="b">
        <v>0</v>
      </c>
      <c r="CD29">
        <v>0.39334200000000002</v>
      </c>
      <c r="CE29">
        <v>0</v>
      </c>
      <c r="CF29">
        <f t="shared" si="1"/>
        <v>0</v>
      </c>
      <c r="DI29" t="s">
        <v>16</v>
      </c>
      <c r="DJ29" t="s">
        <v>11</v>
      </c>
      <c r="DK29">
        <v>271</v>
      </c>
      <c r="DL29" t="s">
        <v>18</v>
      </c>
      <c r="DM29" t="s">
        <v>17</v>
      </c>
      <c r="DN29" t="b">
        <v>0</v>
      </c>
      <c r="DO29">
        <v>-10.312688</v>
      </c>
      <c r="DP29">
        <v>-1.020675</v>
      </c>
      <c r="DR29" t="s">
        <v>19</v>
      </c>
      <c r="DS29" t="s">
        <v>11</v>
      </c>
      <c r="DT29">
        <v>315</v>
      </c>
      <c r="DU29">
        <v>0</v>
      </c>
      <c r="DV29" t="s">
        <v>20</v>
      </c>
      <c r="DW29" t="b">
        <v>0</v>
      </c>
      <c r="DX29">
        <v>-15.331165</v>
      </c>
      <c r="DY29">
        <v>-0.96530300000000002</v>
      </c>
      <c r="DZ29">
        <v>-16.296503176868345</v>
      </c>
      <c r="EA29" s="8">
        <f t="shared" si="2"/>
        <v>-3.5176868344422019E-5</v>
      </c>
    </row>
    <row r="30" spans="2:131">
      <c r="B30" t="s">
        <v>21</v>
      </c>
      <c r="C30" t="s">
        <v>11</v>
      </c>
      <c r="D30">
        <v>316</v>
      </c>
      <c r="E30">
        <v>0</v>
      </c>
      <c r="F30" t="s">
        <v>22</v>
      </c>
      <c r="G30" t="b">
        <v>0</v>
      </c>
      <c r="H30">
        <v>2.156542</v>
      </c>
      <c r="I30">
        <v>-0.99943400000000004</v>
      </c>
      <c r="M30" t="s">
        <v>21</v>
      </c>
      <c r="N30" t="s">
        <v>11</v>
      </c>
      <c r="O30">
        <v>316</v>
      </c>
      <c r="P30">
        <v>0</v>
      </c>
      <c r="Q30" t="s">
        <v>22</v>
      </c>
      <c r="R30" t="b">
        <v>0</v>
      </c>
      <c r="S30">
        <v>2.156542</v>
      </c>
      <c r="T30">
        <v>-0.99943400000000004</v>
      </c>
      <c r="V30" t="s">
        <v>21</v>
      </c>
      <c r="W30" t="s">
        <v>11</v>
      </c>
      <c r="X30">
        <v>316</v>
      </c>
      <c r="Y30">
        <v>0</v>
      </c>
      <c r="Z30" t="s">
        <v>22</v>
      </c>
      <c r="AA30" t="b">
        <v>0</v>
      </c>
      <c r="AB30">
        <v>2.156542</v>
      </c>
      <c r="AC30">
        <v>-0.99943400000000004</v>
      </c>
      <c r="AE30" t="s">
        <v>21</v>
      </c>
      <c r="AF30" t="s">
        <v>11</v>
      </c>
      <c r="AG30">
        <v>316</v>
      </c>
      <c r="AH30">
        <v>0</v>
      </c>
      <c r="AI30" t="s">
        <v>22</v>
      </c>
      <c r="AJ30" t="b">
        <v>0</v>
      </c>
      <c r="AK30">
        <v>3.251045</v>
      </c>
      <c r="AL30">
        <v>-1.0485420000000001</v>
      </c>
      <c r="AN30" t="s">
        <v>21</v>
      </c>
      <c r="AO30" t="s">
        <v>11</v>
      </c>
      <c r="AP30">
        <v>316</v>
      </c>
      <c r="AQ30">
        <v>0</v>
      </c>
      <c r="AR30" t="s">
        <v>22</v>
      </c>
      <c r="AS30" t="b">
        <v>0</v>
      </c>
      <c r="AT30">
        <v>3.251045</v>
      </c>
      <c r="AU30">
        <v>-1.0485420000000001</v>
      </c>
      <c r="AW30" t="s">
        <v>25</v>
      </c>
      <c r="AX30" t="s">
        <v>11</v>
      </c>
      <c r="AY30">
        <v>318</v>
      </c>
      <c r="AZ30">
        <v>0</v>
      </c>
      <c r="BA30" t="s">
        <v>26</v>
      </c>
      <c r="BB30" t="b">
        <v>0</v>
      </c>
      <c r="BC30">
        <v>-10.891303000000001</v>
      </c>
      <c r="BD30">
        <v>-2.4490940000000001</v>
      </c>
      <c r="BF30" t="s">
        <v>29</v>
      </c>
      <c r="BG30" t="s">
        <v>11</v>
      </c>
      <c r="BH30">
        <v>368</v>
      </c>
      <c r="BI30">
        <v>0</v>
      </c>
      <c r="BJ30" t="s">
        <v>30</v>
      </c>
      <c r="BK30" t="b">
        <v>0</v>
      </c>
      <c r="BL30">
        <v>-3.55911</v>
      </c>
      <c r="BM30">
        <v>-1.139707</v>
      </c>
      <c r="BO30" t="s">
        <v>21</v>
      </c>
      <c r="BP30" t="s">
        <v>11</v>
      </c>
      <c r="BQ30">
        <v>316</v>
      </c>
      <c r="BR30">
        <v>0</v>
      </c>
      <c r="BS30" t="s">
        <v>22</v>
      </c>
      <c r="BT30" t="b">
        <v>0</v>
      </c>
      <c r="BU30">
        <v>-32.724896999999999</v>
      </c>
      <c r="BV30">
        <v>-0.99943400000000004</v>
      </c>
      <c r="BX30" t="s">
        <v>21</v>
      </c>
      <c r="BY30" t="s">
        <v>11</v>
      </c>
      <c r="BZ30">
        <v>316</v>
      </c>
      <c r="CA30">
        <v>0</v>
      </c>
      <c r="CB30" t="s">
        <v>22</v>
      </c>
      <c r="CC30" t="b">
        <v>0</v>
      </c>
      <c r="CD30">
        <v>1.1571089999999999</v>
      </c>
      <c r="CE30">
        <v>0</v>
      </c>
      <c r="CF30">
        <f t="shared" si="1"/>
        <v>1.0000000000287557E-6</v>
      </c>
      <c r="DI30" t="s">
        <v>19</v>
      </c>
      <c r="DJ30" t="s">
        <v>11</v>
      </c>
      <c r="DK30">
        <v>315</v>
      </c>
      <c r="DL30">
        <v>0</v>
      </c>
      <c r="DM30" t="s">
        <v>20</v>
      </c>
      <c r="DN30" t="b">
        <v>0</v>
      </c>
      <c r="DO30">
        <v>1.3586450000000001</v>
      </c>
      <c r="DP30">
        <v>-0.96530300000000002</v>
      </c>
      <c r="DR30" t="s">
        <v>21</v>
      </c>
      <c r="DS30" t="s">
        <v>11</v>
      </c>
      <c r="DT30">
        <v>316</v>
      </c>
      <c r="DU30">
        <v>0</v>
      </c>
      <c r="DV30" t="s">
        <v>22</v>
      </c>
      <c r="DW30" t="b">
        <v>0</v>
      </c>
      <c r="DX30">
        <v>-35.522021000000002</v>
      </c>
      <c r="DY30">
        <v>-0.99943400000000004</v>
      </c>
      <c r="DZ30">
        <v>-36.521481422089479</v>
      </c>
      <c r="EA30" s="8">
        <f t="shared" si="2"/>
        <v>-2.6422089476341171E-5</v>
      </c>
    </row>
    <row r="31" spans="2:131">
      <c r="B31" t="s">
        <v>21</v>
      </c>
      <c r="C31" t="s">
        <v>11</v>
      </c>
      <c r="D31">
        <v>316</v>
      </c>
      <c r="E31" t="s">
        <v>13</v>
      </c>
      <c r="F31" t="s">
        <v>22</v>
      </c>
      <c r="G31" t="b">
        <v>0</v>
      </c>
      <c r="H31">
        <v>3.7155339999999999</v>
      </c>
      <c r="I31">
        <v>-0.99943400000000004</v>
      </c>
      <c r="M31" t="s">
        <v>21</v>
      </c>
      <c r="N31" t="s">
        <v>11</v>
      </c>
      <c r="O31">
        <v>316</v>
      </c>
      <c r="P31" t="s">
        <v>13</v>
      </c>
      <c r="Q31" t="s">
        <v>22</v>
      </c>
      <c r="R31" t="b">
        <v>0</v>
      </c>
      <c r="S31">
        <v>3.7155339999999999</v>
      </c>
      <c r="T31">
        <v>-0.99943400000000004</v>
      </c>
      <c r="V31" t="s">
        <v>21</v>
      </c>
      <c r="W31" t="s">
        <v>11</v>
      </c>
      <c r="X31">
        <v>316</v>
      </c>
      <c r="Y31" t="s">
        <v>13</v>
      </c>
      <c r="Z31" t="s">
        <v>22</v>
      </c>
      <c r="AA31" t="b">
        <v>0</v>
      </c>
      <c r="AB31">
        <v>3.7155339999999999</v>
      </c>
      <c r="AC31">
        <v>-0.99943400000000004</v>
      </c>
      <c r="AE31" t="s">
        <v>21</v>
      </c>
      <c r="AF31" t="s">
        <v>11</v>
      </c>
      <c r="AG31">
        <v>316</v>
      </c>
      <c r="AH31" t="s">
        <v>13</v>
      </c>
      <c r="AI31" t="s">
        <v>22</v>
      </c>
      <c r="AJ31" t="b">
        <v>0</v>
      </c>
      <c r="AK31">
        <v>4.8464309999999999</v>
      </c>
      <c r="AL31">
        <v>-1.0485420000000001</v>
      </c>
      <c r="AN31" t="s">
        <v>21</v>
      </c>
      <c r="AO31" t="s">
        <v>11</v>
      </c>
      <c r="AP31">
        <v>316</v>
      </c>
      <c r="AQ31" t="s">
        <v>13</v>
      </c>
      <c r="AR31" t="s">
        <v>22</v>
      </c>
      <c r="AS31" t="b">
        <v>0</v>
      </c>
      <c r="AT31">
        <v>4.8464309999999999</v>
      </c>
      <c r="AU31">
        <v>-1.0485420000000001</v>
      </c>
      <c r="AW31" t="s">
        <v>27</v>
      </c>
      <c r="AX31" t="s">
        <v>11</v>
      </c>
      <c r="AY31">
        <v>321</v>
      </c>
      <c r="AZ31">
        <v>0</v>
      </c>
      <c r="BA31" t="s">
        <v>28</v>
      </c>
      <c r="BB31" t="b">
        <v>0</v>
      </c>
      <c r="BC31">
        <v>-2.7100710000000001</v>
      </c>
      <c r="BD31">
        <v>-1.4690179999999999</v>
      </c>
      <c r="BF31" t="s">
        <v>31</v>
      </c>
      <c r="BG31" t="s">
        <v>11</v>
      </c>
      <c r="BH31">
        <v>370</v>
      </c>
      <c r="BI31">
        <v>0</v>
      </c>
      <c r="BJ31" t="s">
        <v>32</v>
      </c>
      <c r="BK31" t="b">
        <v>0</v>
      </c>
      <c r="BL31">
        <v>-4.3413259999999996</v>
      </c>
      <c r="BM31">
        <v>-0.71770100000000003</v>
      </c>
      <c r="BO31" t="s">
        <v>21</v>
      </c>
      <c r="BP31" t="s">
        <v>11</v>
      </c>
      <c r="BQ31">
        <v>316</v>
      </c>
      <c r="BR31" t="s">
        <v>13</v>
      </c>
      <c r="BS31" t="s">
        <v>22</v>
      </c>
      <c r="BT31" t="b">
        <v>0</v>
      </c>
      <c r="BU31">
        <v>-32.556404000000001</v>
      </c>
      <c r="BV31">
        <v>-0.99943400000000004</v>
      </c>
      <c r="BX31" t="s">
        <v>21</v>
      </c>
      <c r="BY31" t="s">
        <v>11</v>
      </c>
      <c r="BZ31">
        <v>316</v>
      </c>
      <c r="CA31" t="s">
        <v>13</v>
      </c>
      <c r="CB31" t="s">
        <v>22</v>
      </c>
      <c r="CC31" t="b">
        <v>0</v>
      </c>
      <c r="CD31">
        <v>2.7161</v>
      </c>
      <c r="CE31">
        <v>0</v>
      </c>
      <c r="CF31">
        <f t="shared" si="1"/>
        <v>0</v>
      </c>
      <c r="DI31" t="s">
        <v>21</v>
      </c>
      <c r="DJ31" t="s">
        <v>11</v>
      </c>
      <c r="DK31">
        <v>316</v>
      </c>
      <c r="DL31">
        <v>0</v>
      </c>
      <c r="DM31" t="s">
        <v>22</v>
      </c>
      <c r="DN31" t="b">
        <v>0</v>
      </c>
      <c r="DO31">
        <v>2.156542</v>
      </c>
      <c r="DP31">
        <v>-0.99943400000000004</v>
      </c>
      <c r="DR31" t="s">
        <v>21</v>
      </c>
      <c r="DS31" t="s">
        <v>11</v>
      </c>
      <c r="DT31">
        <v>316</v>
      </c>
      <c r="DU31" t="s">
        <v>13</v>
      </c>
      <c r="DV31" t="s">
        <v>22</v>
      </c>
      <c r="DW31" t="b">
        <v>0</v>
      </c>
      <c r="DX31">
        <v>-26.929148999999999</v>
      </c>
      <c r="DY31">
        <v>-0.99943400000000004</v>
      </c>
      <c r="DZ31">
        <v>-27.928556446284343</v>
      </c>
      <c r="EA31" s="8">
        <f t="shared" si="2"/>
        <v>2.6553715656518762E-5</v>
      </c>
    </row>
    <row r="32" spans="2:131">
      <c r="B32" t="s">
        <v>23</v>
      </c>
      <c r="C32" t="s">
        <v>11</v>
      </c>
      <c r="D32">
        <v>317</v>
      </c>
      <c r="E32">
        <v>0</v>
      </c>
      <c r="F32" t="s">
        <v>24</v>
      </c>
      <c r="G32" t="b">
        <v>0</v>
      </c>
      <c r="H32">
        <v>-5.3490000000000002</v>
      </c>
      <c r="I32">
        <v>3.7098939999999998</v>
      </c>
      <c r="M32" t="s">
        <v>23</v>
      </c>
      <c r="N32" t="s">
        <v>11</v>
      </c>
      <c r="O32">
        <v>317</v>
      </c>
      <c r="P32">
        <v>0</v>
      </c>
      <c r="Q32" t="s">
        <v>24</v>
      </c>
      <c r="R32" t="b">
        <v>0</v>
      </c>
      <c r="S32">
        <v>-5.3490000000000002</v>
      </c>
      <c r="T32">
        <v>3.7098939999999998</v>
      </c>
      <c r="V32" t="s">
        <v>23</v>
      </c>
      <c r="W32" t="s">
        <v>11</v>
      </c>
      <c r="X32">
        <v>317</v>
      </c>
      <c r="Y32">
        <v>0</v>
      </c>
      <c r="Z32" t="s">
        <v>24</v>
      </c>
      <c r="AA32" t="b">
        <v>0</v>
      </c>
      <c r="AB32">
        <v>-5.3490000000000002</v>
      </c>
      <c r="AC32">
        <v>3.7098939999999998</v>
      </c>
      <c r="AE32" t="s">
        <v>23</v>
      </c>
      <c r="AF32" t="s">
        <v>11</v>
      </c>
      <c r="AG32">
        <v>317</v>
      </c>
      <c r="AH32">
        <v>0</v>
      </c>
      <c r="AI32" t="s">
        <v>24</v>
      </c>
      <c r="AJ32" t="b">
        <v>0</v>
      </c>
      <c r="AK32">
        <v>-5.0946389999999999</v>
      </c>
      <c r="AL32">
        <v>4.2597750000000003</v>
      </c>
      <c r="AN32" t="s">
        <v>23</v>
      </c>
      <c r="AO32" t="s">
        <v>11</v>
      </c>
      <c r="AP32">
        <v>317</v>
      </c>
      <c r="AQ32">
        <v>0</v>
      </c>
      <c r="AR32" t="s">
        <v>24</v>
      </c>
      <c r="AS32" t="b">
        <v>0</v>
      </c>
      <c r="AT32">
        <v>-5.0946389999999999</v>
      </c>
      <c r="AU32">
        <v>4.2597750000000003</v>
      </c>
      <c r="AW32" t="s">
        <v>29</v>
      </c>
      <c r="AX32" t="s">
        <v>11</v>
      </c>
      <c r="AY32">
        <v>368</v>
      </c>
      <c r="AZ32">
        <v>0</v>
      </c>
      <c r="BA32" t="s">
        <v>30</v>
      </c>
      <c r="BB32" t="b">
        <v>0</v>
      </c>
      <c r="BC32">
        <v>-3.4862880000000001</v>
      </c>
      <c r="BD32">
        <v>-0.90723399999999998</v>
      </c>
      <c r="BF32" t="s">
        <v>14</v>
      </c>
      <c r="BG32" t="s">
        <v>11</v>
      </c>
      <c r="BH32">
        <v>380</v>
      </c>
      <c r="BI32">
        <v>0</v>
      </c>
      <c r="BJ32" t="s">
        <v>33</v>
      </c>
      <c r="BK32" t="b">
        <v>0</v>
      </c>
      <c r="BL32">
        <v>-2.5998359999999998</v>
      </c>
      <c r="BM32">
        <v>-0.65625500000000003</v>
      </c>
      <c r="BO32" t="s">
        <v>23</v>
      </c>
      <c r="BP32" t="s">
        <v>11</v>
      </c>
      <c r="BQ32">
        <v>317</v>
      </c>
      <c r="BR32">
        <v>0</v>
      </c>
      <c r="BS32" t="s">
        <v>24</v>
      </c>
      <c r="BT32" t="b">
        <v>0</v>
      </c>
      <c r="BU32">
        <v>-21.352377000000001</v>
      </c>
      <c r="BV32">
        <v>3.7098939999999998</v>
      </c>
      <c r="BX32" t="s">
        <v>23</v>
      </c>
      <c r="BY32" t="s">
        <v>11</v>
      </c>
      <c r="BZ32">
        <v>317</v>
      </c>
      <c r="CA32">
        <v>0</v>
      </c>
      <c r="CB32" t="s">
        <v>24</v>
      </c>
      <c r="CC32" t="b">
        <v>0</v>
      </c>
      <c r="CD32">
        <v>-1.639105</v>
      </c>
      <c r="CE32">
        <v>0</v>
      </c>
      <c r="CF32">
        <f t="shared" si="1"/>
        <v>1.0000000005838672E-6</v>
      </c>
      <c r="DI32" t="s">
        <v>21</v>
      </c>
      <c r="DJ32" t="s">
        <v>11</v>
      </c>
      <c r="DK32">
        <v>316</v>
      </c>
      <c r="DL32" t="s">
        <v>13</v>
      </c>
      <c r="DM32" t="s">
        <v>22</v>
      </c>
      <c r="DN32" t="b">
        <v>0</v>
      </c>
      <c r="DO32">
        <v>3.7155339999999999</v>
      </c>
      <c r="DP32">
        <v>-0.99943400000000004</v>
      </c>
      <c r="DR32" t="s">
        <v>23</v>
      </c>
      <c r="DS32" t="s">
        <v>11</v>
      </c>
      <c r="DT32">
        <v>317</v>
      </c>
      <c r="DU32">
        <v>0</v>
      </c>
      <c r="DV32" t="s">
        <v>24</v>
      </c>
      <c r="DW32" t="b">
        <v>0</v>
      </c>
      <c r="DX32">
        <v>-21.352314</v>
      </c>
      <c r="DY32">
        <v>3.7098939999999998</v>
      </c>
      <c r="DZ32">
        <v>-17.642424203201848</v>
      </c>
      <c r="EA32" s="8">
        <f t="shared" si="2"/>
        <v>-4.2032018470194998E-6</v>
      </c>
    </row>
    <row r="33" spans="2:131">
      <c r="B33" t="s">
        <v>25</v>
      </c>
      <c r="C33" t="s">
        <v>11</v>
      </c>
      <c r="D33">
        <v>318</v>
      </c>
      <c r="E33">
        <v>0</v>
      </c>
      <c r="F33" t="s">
        <v>26</v>
      </c>
      <c r="G33" t="b">
        <v>0</v>
      </c>
      <c r="H33">
        <v>-10.891303000000001</v>
      </c>
      <c r="I33">
        <v>-2.4490940000000001</v>
      </c>
      <c r="M33" t="s">
        <v>25</v>
      </c>
      <c r="N33" t="s">
        <v>11</v>
      </c>
      <c r="O33">
        <v>318</v>
      </c>
      <c r="P33">
        <v>0</v>
      </c>
      <c r="Q33" t="s">
        <v>26</v>
      </c>
      <c r="R33" t="b">
        <v>0</v>
      </c>
      <c r="S33">
        <v>-10.891303000000001</v>
      </c>
      <c r="T33">
        <v>-2.4490940000000001</v>
      </c>
      <c r="V33" t="s">
        <v>25</v>
      </c>
      <c r="W33" t="s">
        <v>11</v>
      </c>
      <c r="X33">
        <v>318</v>
      </c>
      <c r="Y33">
        <v>0</v>
      </c>
      <c r="Z33" t="s">
        <v>26</v>
      </c>
      <c r="AA33" t="b">
        <v>0</v>
      </c>
      <c r="AB33">
        <v>-10.891303000000001</v>
      </c>
      <c r="AC33">
        <v>-2.4490940000000001</v>
      </c>
      <c r="AE33" t="s">
        <v>25</v>
      </c>
      <c r="AF33" t="s">
        <v>11</v>
      </c>
      <c r="AG33">
        <v>318</v>
      </c>
      <c r="AH33">
        <v>0</v>
      </c>
      <c r="AI33" t="s">
        <v>26</v>
      </c>
      <c r="AJ33" t="b">
        <v>0</v>
      </c>
      <c r="AK33">
        <v>-11.791923000000001</v>
      </c>
      <c r="AL33">
        <v>-2.6052369999999998</v>
      </c>
      <c r="AN33" t="s">
        <v>25</v>
      </c>
      <c r="AO33" t="s">
        <v>11</v>
      </c>
      <c r="AP33">
        <v>318</v>
      </c>
      <c r="AQ33">
        <v>0</v>
      </c>
      <c r="AR33" t="s">
        <v>26</v>
      </c>
      <c r="AS33" t="b">
        <v>0</v>
      </c>
      <c r="AT33">
        <v>-11.791923000000001</v>
      </c>
      <c r="AU33">
        <v>-2.6052369999999998</v>
      </c>
      <c r="AW33" t="s">
        <v>31</v>
      </c>
      <c r="AX33" t="s">
        <v>11</v>
      </c>
      <c r="AY33">
        <v>370</v>
      </c>
      <c r="AZ33">
        <v>0</v>
      </c>
      <c r="BA33" t="s">
        <v>32</v>
      </c>
      <c r="BB33" t="b">
        <v>0</v>
      </c>
      <c r="BC33">
        <v>-3.6668159999999999</v>
      </c>
      <c r="BD33">
        <v>-0.80345599999999995</v>
      </c>
      <c r="BF33" t="s">
        <v>23</v>
      </c>
      <c r="BG33" t="s">
        <v>11</v>
      </c>
      <c r="BH33">
        <v>382</v>
      </c>
      <c r="BI33">
        <v>0</v>
      </c>
      <c r="BJ33" t="s">
        <v>34</v>
      </c>
      <c r="BK33" t="b">
        <v>0</v>
      </c>
      <c r="BL33">
        <v>-6.5179369999999999</v>
      </c>
      <c r="BM33">
        <v>-0.86448100000000005</v>
      </c>
      <c r="BO33" t="s">
        <v>25</v>
      </c>
      <c r="BP33" t="s">
        <v>11</v>
      </c>
      <c r="BQ33">
        <v>318</v>
      </c>
      <c r="BR33">
        <v>0</v>
      </c>
      <c r="BS33" t="s">
        <v>26</v>
      </c>
      <c r="BT33" t="b">
        <v>0</v>
      </c>
      <c r="BU33">
        <v>-20.692751999999999</v>
      </c>
      <c r="BV33">
        <v>-2.4490940000000001</v>
      </c>
      <c r="BX33" t="s">
        <v>25</v>
      </c>
      <c r="BY33" t="s">
        <v>11</v>
      </c>
      <c r="BZ33">
        <v>318</v>
      </c>
      <c r="CA33">
        <v>0</v>
      </c>
      <c r="CB33" t="s">
        <v>26</v>
      </c>
      <c r="CC33" t="b">
        <v>0</v>
      </c>
      <c r="CD33">
        <v>-13.340396</v>
      </c>
      <c r="CE33">
        <v>0</v>
      </c>
      <c r="CF33">
        <f t="shared" si="1"/>
        <v>1.0000000005838672E-6</v>
      </c>
      <c r="DI33" t="s">
        <v>23</v>
      </c>
      <c r="DJ33" t="s">
        <v>11</v>
      </c>
      <c r="DK33">
        <v>317</v>
      </c>
      <c r="DL33">
        <v>0</v>
      </c>
      <c r="DM33" t="s">
        <v>24</v>
      </c>
      <c r="DN33" t="b">
        <v>0</v>
      </c>
      <c r="DO33">
        <v>-5.3490000000000002</v>
      </c>
      <c r="DP33">
        <v>3.7098939999999998</v>
      </c>
      <c r="DR33" t="s">
        <v>25</v>
      </c>
      <c r="DS33" t="s">
        <v>11</v>
      </c>
      <c r="DT33">
        <v>318</v>
      </c>
      <c r="DU33">
        <v>0</v>
      </c>
      <c r="DV33" t="s">
        <v>26</v>
      </c>
      <c r="DW33" t="b">
        <v>0</v>
      </c>
      <c r="DX33">
        <v>-20.760334</v>
      </c>
      <c r="DY33">
        <v>-2.4490940000000001</v>
      </c>
      <c r="DZ33">
        <v>-23.209408957882605</v>
      </c>
      <c r="EA33" s="8">
        <f t="shared" si="2"/>
        <v>1.9042117394008073E-5</v>
      </c>
    </row>
    <row r="34" spans="2:131">
      <c r="B34" t="s">
        <v>27</v>
      </c>
      <c r="C34" t="s">
        <v>11</v>
      </c>
      <c r="D34">
        <v>321</v>
      </c>
      <c r="E34">
        <v>0</v>
      </c>
      <c r="F34" t="s">
        <v>28</v>
      </c>
      <c r="G34" t="b">
        <v>0</v>
      </c>
      <c r="H34">
        <v>-2.7100710000000001</v>
      </c>
      <c r="I34">
        <v>-1.4690179999999999</v>
      </c>
      <c r="M34" t="s">
        <v>27</v>
      </c>
      <c r="N34" t="s">
        <v>11</v>
      </c>
      <c r="O34">
        <v>321</v>
      </c>
      <c r="P34">
        <v>0</v>
      </c>
      <c r="Q34" t="s">
        <v>28</v>
      </c>
      <c r="R34" t="b">
        <v>0</v>
      </c>
      <c r="S34">
        <v>-2.7100710000000001</v>
      </c>
      <c r="T34">
        <v>-1.4690179999999999</v>
      </c>
      <c r="V34" t="s">
        <v>27</v>
      </c>
      <c r="W34" t="s">
        <v>11</v>
      </c>
      <c r="X34">
        <v>321</v>
      </c>
      <c r="Y34">
        <v>0</v>
      </c>
      <c r="Z34" t="s">
        <v>28</v>
      </c>
      <c r="AA34" t="b">
        <v>0</v>
      </c>
      <c r="AB34">
        <v>-2.7100710000000001</v>
      </c>
      <c r="AC34">
        <v>-1.4690179999999999</v>
      </c>
      <c r="AE34" t="s">
        <v>27</v>
      </c>
      <c r="AF34" t="s">
        <v>11</v>
      </c>
      <c r="AG34">
        <v>321</v>
      </c>
      <c r="AH34">
        <v>0</v>
      </c>
      <c r="AI34" t="s">
        <v>28</v>
      </c>
      <c r="AJ34" t="b">
        <v>0</v>
      </c>
      <c r="AK34">
        <v>-1.928884</v>
      </c>
      <c r="AL34">
        <v>-1.3605970000000001</v>
      </c>
      <c r="AN34" t="s">
        <v>27</v>
      </c>
      <c r="AO34" t="s">
        <v>11</v>
      </c>
      <c r="AP34">
        <v>321</v>
      </c>
      <c r="AQ34">
        <v>0</v>
      </c>
      <c r="AR34" t="s">
        <v>28</v>
      </c>
      <c r="AS34" t="b">
        <v>0</v>
      </c>
      <c r="AT34">
        <v>-1.928884</v>
      </c>
      <c r="AU34">
        <v>-1.3605970000000001</v>
      </c>
      <c r="AW34" t="s">
        <v>14</v>
      </c>
      <c r="AX34" t="s">
        <v>11</v>
      </c>
      <c r="AY34">
        <v>380</v>
      </c>
      <c r="AZ34">
        <v>0</v>
      </c>
      <c r="BA34" t="s">
        <v>33</v>
      </c>
      <c r="BB34" t="b">
        <v>0</v>
      </c>
      <c r="BC34">
        <v>-2.3797060000000001</v>
      </c>
      <c r="BD34">
        <v>-0.61374099999999998</v>
      </c>
      <c r="BF34" t="s">
        <v>29</v>
      </c>
      <c r="BG34" t="s">
        <v>11</v>
      </c>
      <c r="BH34">
        <v>368</v>
      </c>
      <c r="BI34">
        <v>0</v>
      </c>
      <c r="BJ34" t="s">
        <v>30</v>
      </c>
      <c r="BK34" t="b">
        <v>1</v>
      </c>
      <c r="BL34">
        <v>-1.3853599999999999</v>
      </c>
      <c r="BM34">
        <v>-1.139707</v>
      </c>
      <c r="BO34" t="s">
        <v>27</v>
      </c>
      <c r="BP34" t="s">
        <v>11</v>
      </c>
      <c r="BQ34">
        <v>321</v>
      </c>
      <c r="BR34">
        <v>0</v>
      </c>
      <c r="BS34" t="s">
        <v>28</v>
      </c>
      <c r="BT34" t="b">
        <v>0</v>
      </c>
      <c r="BU34">
        <v>-10.312136000000001</v>
      </c>
      <c r="BV34">
        <v>-1.4690179999999999</v>
      </c>
      <c r="BX34" t="s">
        <v>27</v>
      </c>
      <c r="BY34" t="s">
        <v>11</v>
      </c>
      <c r="BZ34">
        <v>321</v>
      </c>
      <c r="CA34">
        <v>0</v>
      </c>
      <c r="CB34" t="s">
        <v>28</v>
      </c>
      <c r="CC34" t="b">
        <v>0</v>
      </c>
      <c r="CD34">
        <v>-4.1790880000000001</v>
      </c>
      <c r="CE34">
        <v>0</v>
      </c>
      <c r="CF34">
        <f t="shared" si="1"/>
        <v>9.9999999991773336E-7</v>
      </c>
      <c r="DI34" t="s">
        <v>25</v>
      </c>
      <c r="DJ34" t="s">
        <v>11</v>
      </c>
      <c r="DK34">
        <v>318</v>
      </c>
      <c r="DL34">
        <v>0</v>
      </c>
      <c r="DM34" t="s">
        <v>26</v>
      </c>
      <c r="DN34" t="b">
        <v>0</v>
      </c>
      <c r="DO34">
        <v>-10.891303000000001</v>
      </c>
      <c r="DP34">
        <v>-2.4490940000000001</v>
      </c>
      <c r="DR34" t="s">
        <v>27</v>
      </c>
      <c r="DS34" t="s">
        <v>11</v>
      </c>
      <c r="DT34">
        <v>321</v>
      </c>
      <c r="DU34">
        <v>0</v>
      </c>
      <c r="DV34" t="s">
        <v>28</v>
      </c>
      <c r="DW34" t="b">
        <v>0</v>
      </c>
      <c r="DX34">
        <v>-10.312193000000001</v>
      </c>
      <c r="DY34">
        <v>-1.4690179999999999</v>
      </c>
      <c r="DZ34">
        <v>-11.781200126603286</v>
      </c>
      <c r="EA34" s="8">
        <f t="shared" si="2"/>
        <v>1.0873396714572436E-5</v>
      </c>
    </row>
    <row r="35" spans="2:131">
      <c r="B35" t="s">
        <v>29</v>
      </c>
      <c r="C35" t="s">
        <v>11</v>
      </c>
      <c r="D35">
        <v>368</v>
      </c>
      <c r="E35">
        <v>0</v>
      </c>
      <c r="F35" t="s">
        <v>30</v>
      </c>
      <c r="G35" t="b">
        <v>0</v>
      </c>
      <c r="H35">
        <v>-3.4862880000000001</v>
      </c>
      <c r="I35">
        <v>-0.90723399999999998</v>
      </c>
      <c r="M35" t="s">
        <v>29</v>
      </c>
      <c r="N35" t="s">
        <v>11</v>
      </c>
      <c r="O35">
        <v>368</v>
      </c>
      <c r="P35">
        <v>0</v>
      </c>
      <c r="Q35" t="s">
        <v>30</v>
      </c>
      <c r="R35" t="b">
        <v>0</v>
      </c>
      <c r="S35">
        <v>-3.4862880000000001</v>
      </c>
      <c r="T35">
        <v>-0.90723399999999998</v>
      </c>
      <c r="V35" t="s">
        <v>29</v>
      </c>
      <c r="W35" t="s">
        <v>11</v>
      </c>
      <c r="X35">
        <v>368</v>
      </c>
      <c r="Y35">
        <v>0</v>
      </c>
      <c r="Z35" t="s">
        <v>30</v>
      </c>
      <c r="AA35" t="b">
        <v>0</v>
      </c>
      <c r="AB35">
        <v>-3.4862880000000001</v>
      </c>
      <c r="AC35">
        <v>-0.90723399999999998</v>
      </c>
      <c r="AE35" t="s">
        <v>29</v>
      </c>
      <c r="AF35" t="s">
        <v>11</v>
      </c>
      <c r="AG35">
        <v>368</v>
      </c>
      <c r="AH35">
        <v>0</v>
      </c>
      <c r="AI35" t="s">
        <v>30</v>
      </c>
      <c r="AJ35" t="b">
        <v>0</v>
      </c>
      <c r="AK35">
        <v>-2.9317380000000002</v>
      </c>
      <c r="AL35">
        <v>-0.91067900000000002</v>
      </c>
      <c r="AN35" t="s">
        <v>29</v>
      </c>
      <c r="AO35" t="s">
        <v>11</v>
      </c>
      <c r="AP35">
        <v>368</v>
      </c>
      <c r="AQ35">
        <v>0</v>
      </c>
      <c r="AR35" t="s">
        <v>30</v>
      </c>
      <c r="AS35" t="b">
        <v>0</v>
      </c>
      <c r="AT35">
        <v>-2.9317380000000002</v>
      </c>
      <c r="AU35">
        <v>-0.91067900000000002</v>
      </c>
      <c r="AW35" t="s">
        <v>23</v>
      </c>
      <c r="AX35" t="s">
        <v>11</v>
      </c>
      <c r="AY35">
        <v>382</v>
      </c>
      <c r="AZ35">
        <v>0</v>
      </c>
      <c r="BA35" t="s">
        <v>34</v>
      </c>
      <c r="BB35" t="b">
        <v>0</v>
      </c>
      <c r="BC35">
        <v>-6.7600680000000004</v>
      </c>
      <c r="BD35">
        <v>-1.043911</v>
      </c>
      <c r="BO35" t="s">
        <v>29</v>
      </c>
      <c r="BP35" t="s">
        <v>11</v>
      </c>
      <c r="BQ35">
        <v>368</v>
      </c>
      <c r="BR35">
        <v>0</v>
      </c>
      <c r="BS35" t="s">
        <v>30</v>
      </c>
      <c r="BT35" t="b">
        <v>0</v>
      </c>
      <c r="BU35">
        <v>-13.562147</v>
      </c>
      <c r="BV35">
        <v>-0.90723399999999998</v>
      </c>
      <c r="BX35" t="s">
        <v>29</v>
      </c>
      <c r="BY35" t="s">
        <v>11</v>
      </c>
      <c r="BZ35">
        <v>368</v>
      </c>
      <c r="CA35">
        <v>0</v>
      </c>
      <c r="CB35" t="s">
        <v>30</v>
      </c>
      <c r="CC35" t="b">
        <v>0</v>
      </c>
      <c r="CD35">
        <v>-4.3935209999999998</v>
      </c>
      <c r="CE35">
        <v>0</v>
      </c>
      <c r="CF35">
        <f t="shared" si="1"/>
        <v>1.0000000002508003E-6</v>
      </c>
      <c r="DI35" t="s">
        <v>27</v>
      </c>
      <c r="DJ35" t="s">
        <v>11</v>
      </c>
      <c r="DK35">
        <v>321</v>
      </c>
      <c r="DL35">
        <v>0</v>
      </c>
      <c r="DM35" t="s">
        <v>28</v>
      </c>
      <c r="DN35" t="b">
        <v>0</v>
      </c>
      <c r="DO35">
        <v>-2.7100710000000001</v>
      </c>
      <c r="DP35">
        <v>-1.4690179999999999</v>
      </c>
      <c r="DR35" t="s">
        <v>29</v>
      </c>
      <c r="DS35" t="s">
        <v>11</v>
      </c>
      <c r="DT35">
        <v>368</v>
      </c>
      <c r="DU35">
        <v>0</v>
      </c>
      <c r="DV35" t="s">
        <v>30</v>
      </c>
      <c r="DW35" t="b">
        <v>0</v>
      </c>
      <c r="DX35">
        <v>-15.14391</v>
      </c>
      <c r="DY35">
        <v>-0.90723399999999998</v>
      </c>
      <c r="EA35" s="8"/>
    </row>
    <row r="36" spans="2:131">
      <c r="B36" t="s">
        <v>31</v>
      </c>
      <c r="C36" t="s">
        <v>11</v>
      </c>
      <c r="D36">
        <v>370</v>
      </c>
      <c r="E36">
        <v>0</v>
      </c>
      <c r="F36" t="s">
        <v>32</v>
      </c>
      <c r="G36" t="b">
        <v>0</v>
      </c>
      <c r="H36">
        <v>-3.6668159999999999</v>
      </c>
      <c r="I36">
        <v>-0.80345599999999995</v>
      </c>
      <c r="M36" t="s">
        <v>31</v>
      </c>
      <c r="N36" t="s">
        <v>11</v>
      </c>
      <c r="O36">
        <v>370</v>
      </c>
      <c r="P36">
        <v>0</v>
      </c>
      <c r="Q36" t="s">
        <v>32</v>
      </c>
      <c r="R36" t="b">
        <v>0</v>
      </c>
      <c r="S36">
        <v>-3.6668159999999999</v>
      </c>
      <c r="T36">
        <v>-0.80345599999999995</v>
      </c>
      <c r="V36" t="s">
        <v>31</v>
      </c>
      <c r="W36" t="s">
        <v>11</v>
      </c>
      <c r="X36">
        <v>370</v>
      </c>
      <c r="Y36">
        <v>0</v>
      </c>
      <c r="Z36" t="s">
        <v>32</v>
      </c>
      <c r="AA36" t="b">
        <v>0</v>
      </c>
      <c r="AB36">
        <v>-3.6668159999999999</v>
      </c>
      <c r="AC36">
        <v>-0.80345599999999995</v>
      </c>
      <c r="AE36" t="s">
        <v>31</v>
      </c>
      <c r="AF36" t="s">
        <v>11</v>
      </c>
      <c r="AG36">
        <v>370</v>
      </c>
      <c r="AH36">
        <v>0</v>
      </c>
      <c r="AI36" t="s">
        <v>32</v>
      </c>
      <c r="AJ36" t="b">
        <v>0</v>
      </c>
      <c r="AK36">
        <v>-3.137982</v>
      </c>
      <c r="AL36">
        <v>-0.86533499999999997</v>
      </c>
      <c r="AN36" t="s">
        <v>31</v>
      </c>
      <c r="AO36" t="s">
        <v>11</v>
      </c>
      <c r="AP36">
        <v>370</v>
      </c>
      <c r="AQ36">
        <v>0</v>
      </c>
      <c r="AR36" t="s">
        <v>32</v>
      </c>
      <c r="AS36" t="b">
        <v>0</v>
      </c>
      <c r="AT36">
        <v>-3.137982</v>
      </c>
      <c r="AU36">
        <v>-0.86533499999999997</v>
      </c>
      <c r="AW36" t="s">
        <v>29</v>
      </c>
      <c r="AX36" t="s">
        <v>11</v>
      </c>
      <c r="AY36">
        <v>368</v>
      </c>
      <c r="AZ36">
        <v>0</v>
      </c>
      <c r="BA36" t="s">
        <v>30</v>
      </c>
      <c r="BB36" t="b">
        <v>1</v>
      </c>
      <c r="BC36">
        <v>-1.583653</v>
      </c>
      <c r="BD36">
        <v>-0.90723399999999998</v>
      </c>
      <c r="BO36" t="s">
        <v>31</v>
      </c>
      <c r="BP36" t="s">
        <v>11</v>
      </c>
      <c r="BQ36">
        <v>370</v>
      </c>
      <c r="BR36">
        <v>0</v>
      </c>
      <c r="BS36" t="s">
        <v>32</v>
      </c>
      <c r="BT36" t="b">
        <v>0</v>
      </c>
      <c r="BU36">
        <v>-23.085854000000001</v>
      </c>
      <c r="BV36">
        <v>-0.80345599999999995</v>
      </c>
      <c r="BX36" t="s">
        <v>31</v>
      </c>
      <c r="BY36" t="s">
        <v>11</v>
      </c>
      <c r="BZ36">
        <v>370</v>
      </c>
      <c r="CA36">
        <v>0</v>
      </c>
      <c r="CB36" t="s">
        <v>32</v>
      </c>
      <c r="CC36" t="b">
        <v>0</v>
      </c>
      <c r="CD36">
        <v>-4.4702719999999996</v>
      </c>
      <c r="CE36">
        <v>0</v>
      </c>
      <c r="CF36">
        <f t="shared" si="1"/>
        <v>0</v>
      </c>
      <c r="DI36" t="s">
        <v>29</v>
      </c>
      <c r="DJ36" t="s">
        <v>11</v>
      </c>
      <c r="DK36">
        <v>368</v>
      </c>
      <c r="DL36">
        <v>0</v>
      </c>
      <c r="DM36" t="s">
        <v>30</v>
      </c>
      <c r="DN36" t="b">
        <v>0</v>
      </c>
      <c r="DO36">
        <v>-3.4862880000000001</v>
      </c>
      <c r="DP36">
        <v>-0.90723399999999998</v>
      </c>
      <c r="DR36" t="s">
        <v>31</v>
      </c>
      <c r="DS36" t="s">
        <v>11</v>
      </c>
      <c r="DT36">
        <v>370</v>
      </c>
      <c r="DU36">
        <v>0</v>
      </c>
      <c r="DV36" t="s">
        <v>32</v>
      </c>
      <c r="DW36" t="b">
        <v>0</v>
      </c>
      <c r="DX36">
        <v>-23.099595999999998</v>
      </c>
      <c r="DY36">
        <v>-0.80345599999999995</v>
      </c>
      <c r="DZ36">
        <v>-23.903116733380614</v>
      </c>
      <c r="EA36" s="8">
        <f t="shared" si="2"/>
        <v>-6.4733380614967473E-5</v>
      </c>
    </row>
    <row r="37" spans="2:131">
      <c r="B37" t="s">
        <v>14</v>
      </c>
      <c r="C37" t="s">
        <v>11</v>
      </c>
      <c r="D37">
        <v>380</v>
      </c>
      <c r="E37">
        <v>0</v>
      </c>
      <c r="F37" t="s">
        <v>33</v>
      </c>
      <c r="G37" t="b">
        <v>0</v>
      </c>
      <c r="H37">
        <v>-2.3797060000000001</v>
      </c>
      <c r="I37">
        <v>-0.61374099999999998</v>
      </c>
      <c r="M37" t="s">
        <v>14</v>
      </c>
      <c r="N37" t="s">
        <v>11</v>
      </c>
      <c r="O37">
        <v>380</v>
      </c>
      <c r="P37">
        <v>0</v>
      </c>
      <c r="Q37" t="s">
        <v>33</v>
      </c>
      <c r="R37" t="b">
        <v>0</v>
      </c>
      <c r="S37">
        <v>-2.3797060000000001</v>
      </c>
      <c r="T37">
        <v>-0.61374099999999998</v>
      </c>
      <c r="V37" t="s">
        <v>14</v>
      </c>
      <c r="W37" t="s">
        <v>11</v>
      </c>
      <c r="X37">
        <v>380</v>
      </c>
      <c r="Y37">
        <v>0</v>
      </c>
      <c r="Z37" t="s">
        <v>33</v>
      </c>
      <c r="AA37" t="b">
        <v>0</v>
      </c>
      <c r="AB37">
        <v>-2.3797060000000001</v>
      </c>
      <c r="AC37">
        <v>-0.61374099999999998</v>
      </c>
      <c r="AE37" t="s">
        <v>14</v>
      </c>
      <c r="AF37" t="s">
        <v>11</v>
      </c>
      <c r="AG37">
        <v>380</v>
      </c>
      <c r="AH37">
        <v>0</v>
      </c>
      <c r="AI37" t="s">
        <v>33</v>
      </c>
      <c r="AJ37" t="b">
        <v>0</v>
      </c>
      <c r="AK37">
        <v>-1.853966</v>
      </c>
      <c r="AL37">
        <v>-0.61000100000000002</v>
      </c>
      <c r="AN37" t="s">
        <v>14</v>
      </c>
      <c r="AO37" t="s">
        <v>11</v>
      </c>
      <c r="AP37">
        <v>380</v>
      </c>
      <c r="AQ37">
        <v>0</v>
      </c>
      <c r="AR37" t="s">
        <v>33</v>
      </c>
      <c r="AS37" t="b">
        <v>0</v>
      </c>
      <c r="AT37">
        <v>-1.853966</v>
      </c>
      <c r="AU37">
        <v>-0.61000100000000002</v>
      </c>
      <c r="BO37" t="s">
        <v>14</v>
      </c>
      <c r="BP37" t="s">
        <v>11</v>
      </c>
      <c r="BQ37">
        <v>380</v>
      </c>
      <c r="BR37">
        <v>0</v>
      </c>
      <c r="BS37" t="s">
        <v>33</v>
      </c>
      <c r="BT37" t="b">
        <v>0</v>
      </c>
      <c r="BU37">
        <v>-11.800470000000001</v>
      </c>
      <c r="BV37">
        <v>-0.61374099999999998</v>
      </c>
      <c r="BX37" t="s">
        <v>14</v>
      </c>
      <c r="BY37" t="s">
        <v>11</v>
      </c>
      <c r="BZ37">
        <v>380</v>
      </c>
      <c r="CA37">
        <v>0</v>
      </c>
      <c r="CB37" t="s">
        <v>33</v>
      </c>
      <c r="CC37" t="b">
        <v>0</v>
      </c>
      <c r="CD37">
        <v>-2.9934470000000002</v>
      </c>
      <c r="CE37">
        <v>0</v>
      </c>
      <c r="CF37">
        <f t="shared" si="1"/>
        <v>0</v>
      </c>
      <c r="DI37" t="s">
        <v>31</v>
      </c>
      <c r="DJ37" t="s">
        <v>11</v>
      </c>
      <c r="DK37">
        <v>370</v>
      </c>
      <c r="DL37">
        <v>0</v>
      </c>
      <c r="DM37" t="s">
        <v>32</v>
      </c>
      <c r="DN37" t="b">
        <v>0</v>
      </c>
      <c r="DO37">
        <v>-3.6668159999999999</v>
      </c>
      <c r="DP37">
        <v>-0.80345599999999995</v>
      </c>
      <c r="DR37" t="s">
        <v>14</v>
      </c>
      <c r="DS37" t="s">
        <v>11</v>
      </c>
      <c r="DT37">
        <v>380</v>
      </c>
      <c r="DU37">
        <v>0</v>
      </c>
      <c r="DV37" t="s">
        <v>33</v>
      </c>
      <c r="DW37" t="b">
        <v>0</v>
      </c>
      <c r="DX37">
        <v>-11.800401000000001</v>
      </c>
      <c r="DY37">
        <v>-0.61374099999999998</v>
      </c>
      <c r="DZ37">
        <v>-12.414158834676407</v>
      </c>
      <c r="EA37" s="8">
        <f t="shared" si="2"/>
        <v>-1.6834676406674021E-5</v>
      </c>
    </row>
    <row r="38" spans="2:131">
      <c r="B38" t="s">
        <v>23</v>
      </c>
      <c r="C38" t="s">
        <v>11</v>
      </c>
      <c r="D38">
        <v>382</v>
      </c>
      <c r="E38">
        <v>0</v>
      </c>
      <c r="F38" t="s">
        <v>34</v>
      </c>
      <c r="G38" t="b">
        <v>0</v>
      </c>
      <c r="H38">
        <v>-6.7600680000000004</v>
      </c>
      <c r="I38">
        <v>-1.043911</v>
      </c>
      <c r="M38" t="s">
        <v>23</v>
      </c>
      <c r="N38" t="s">
        <v>11</v>
      </c>
      <c r="O38">
        <v>382</v>
      </c>
      <c r="P38">
        <v>0</v>
      </c>
      <c r="Q38" t="s">
        <v>34</v>
      </c>
      <c r="R38" t="b">
        <v>0</v>
      </c>
      <c r="S38">
        <v>-6.7600680000000004</v>
      </c>
      <c r="T38">
        <v>-1.043911</v>
      </c>
      <c r="V38" t="s">
        <v>23</v>
      </c>
      <c r="W38" t="s">
        <v>11</v>
      </c>
      <c r="X38">
        <v>382</v>
      </c>
      <c r="Y38">
        <v>0</v>
      </c>
      <c r="Z38" t="s">
        <v>34</v>
      </c>
      <c r="AA38" t="b">
        <v>0</v>
      </c>
      <c r="AB38">
        <v>-6.7600680000000004</v>
      </c>
      <c r="AC38">
        <v>-1.043911</v>
      </c>
      <c r="AE38" t="s">
        <v>23</v>
      </c>
      <c r="AF38" t="s">
        <v>11</v>
      </c>
      <c r="AG38">
        <v>382</v>
      </c>
      <c r="AH38">
        <v>0</v>
      </c>
      <c r="AI38" t="s">
        <v>34</v>
      </c>
      <c r="AJ38" t="b">
        <v>0</v>
      </c>
      <c r="AK38">
        <v>-6.268383</v>
      </c>
      <c r="AL38">
        <v>-1.058225</v>
      </c>
      <c r="AN38" t="s">
        <v>23</v>
      </c>
      <c r="AO38" t="s">
        <v>11</v>
      </c>
      <c r="AP38">
        <v>382</v>
      </c>
      <c r="AQ38">
        <v>0</v>
      </c>
      <c r="AR38" t="s">
        <v>34</v>
      </c>
      <c r="AS38" t="b">
        <v>0</v>
      </c>
      <c r="AT38">
        <v>-6.268383</v>
      </c>
      <c r="AU38">
        <v>-1.058225</v>
      </c>
      <c r="BO38" t="s">
        <v>23</v>
      </c>
      <c r="BP38" t="s">
        <v>11</v>
      </c>
      <c r="BQ38">
        <v>382</v>
      </c>
      <c r="BR38">
        <v>0</v>
      </c>
      <c r="BS38" t="s">
        <v>34</v>
      </c>
      <c r="BT38" t="b">
        <v>0</v>
      </c>
      <c r="BU38">
        <v>-16.598917</v>
      </c>
      <c r="BV38">
        <v>-1.043911</v>
      </c>
      <c r="BX38" t="s">
        <v>23</v>
      </c>
      <c r="BY38" t="s">
        <v>11</v>
      </c>
      <c r="BZ38">
        <v>382</v>
      </c>
      <c r="CA38">
        <v>0</v>
      </c>
      <c r="CB38" t="s">
        <v>34</v>
      </c>
      <c r="CC38" t="b">
        <v>0</v>
      </c>
      <c r="CD38">
        <v>-7.803979</v>
      </c>
      <c r="CE38">
        <v>0</v>
      </c>
      <c r="CF38">
        <f t="shared" si="1"/>
        <v>0</v>
      </c>
      <c r="DI38" t="s">
        <v>14</v>
      </c>
      <c r="DJ38" t="s">
        <v>11</v>
      </c>
      <c r="DK38">
        <v>380</v>
      </c>
      <c r="DL38">
        <v>0</v>
      </c>
      <c r="DM38" t="s">
        <v>33</v>
      </c>
      <c r="DN38" t="b">
        <v>0</v>
      </c>
      <c r="DO38">
        <v>-2.3797060000000001</v>
      </c>
      <c r="DP38">
        <v>-0.61374099999999998</v>
      </c>
      <c r="DR38" t="s">
        <v>23</v>
      </c>
      <c r="DS38" t="s">
        <v>11</v>
      </c>
      <c r="DT38">
        <v>382</v>
      </c>
      <c r="DU38">
        <v>0</v>
      </c>
      <c r="DV38" t="s">
        <v>34</v>
      </c>
      <c r="DW38" t="b">
        <v>0</v>
      </c>
      <c r="DX38">
        <v>-16.841826000000001</v>
      </c>
      <c r="DY38">
        <v>-1.043911</v>
      </c>
      <c r="DZ38">
        <v>-17.885746550886356</v>
      </c>
      <c r="EA38" s="8">
        <f t="shared" si="2"/>
        <v>-9.5508863537929756E-6</v>
      </c>
    </row>
    <row r="39" spans="2:131">
      <c r="B39" t="s">
        <v>29</v>
      </c>
      <c r="C39" t="s">
        <v>11</v>
      </c>
      <c r="D39">
        <v>368</v>
      </c>
      <c r="E39">
        <v>0</v>
      </c>
      <c r="F39" t="s">
        <v>30</v>
      </c>
      <c r="G39" t="b">
        <v>1</v>
      </c>
      <c r="H39">
        <v>-1.583653</v>
      </c>
      <c r="I39">
        <v>-0.90723399999999998</v>
      </c>
      <c r="M39" t="s">
        <v>29</v>
      </c>
      <c r="N39" t="s">
        <v>11</v>
      </c>
      <c r="O39">
        <v>368</v>
      </c>
      <c r="P39">
        <v>0</v>
      </c>
      <c r="Q39" t="s">
        <v>30</v>
      </c>
      <c r="R39" t="b">
        <v>1</v>
      </c>
      <c r="S39">
        <v>-1.583653</v>
      </c>
      <c r="T39">
        <v>-0.90723399999999998</v>
      </c>
      <c r="V39" t="s">
        <v>29</v>
      </c>
      <c r="W39" t="s">
        <v>11</v>
      </c>
      <c r="X39">
        <v>368</v>
      </c>
      <c r="Y39">
        <v>0</v>
      </c>
      <c r="Z39" t="s">
        <v>30</v>
      </c>
      <c r="AA39" t="b">
        <v>1</v>
      </c>
      <c r="AB39">
        <v>-1.583653</v>
      </c>
      <c r="AC39">
        <v>-0.90723399999999998</v>
      </c>
      <c r="AE39" t="s">
        <v>29</v>
      </c>
      <c r="AF39" t="s">
        <v>11</v>
      </c>
      <c r="AG39">
        <v>368</v>
      </c>
      <c r="AH39">
        <v>0</v>
      </c>
      <c r="AI39" t="s">
        <v>30</v>
      </c>
      <c r="AJ39" t="b">
        <v>1</v>
      </c>
      <c r="AK39">
        <v>-1.080309</v>
      </c>
      <c r="AL39">
        <v>-0.91067900000000002</v>
      </c>
      <c r="AN39" t="s">
        <v>29</v>
      </c>
      <c r="AO39" t="s">
        <v>11</v>
      </c>
      <c r="AP39">
        <v>368</v>
      </c>
      <c r="AQ39">
        <v>0</v>
      </c>
      <c r="AR39" t="s">
        <v>30</v>
      </c>
      <c r="AS39" t="b">
        <v>1</v>
      </c>
      <c r="AT39">
        <v>-1.080309</v>
      </c>
      <c r="AU39">
        <v>-0.91067900000000002</v>
      </c>
      <c r="BO39" t="s">
        <v>29</v>
      </c>
      <c r="BP39" t="s">
        <v>11</v>
      </c>
      <c r="BQ39">
        <v>368</v>
      </c>
      <c r="BR39">
        <v>0</v>
      </c>
      <c r="BS39" t="s">
        <v>30</v>
      </c>
      <c r="BT39" t="b">
        <v>1</v>
      </c>
      <c r="BU39">
        <v>-8.7232690000000002</v>
      </c>
      <c r="BV39">
        <v>-0.90723399999999998</v>
      </c>
      <c r="BX39" t="s">
        <v>29</v>
      </c>
      <c r="BY39" t="s">
        <v>11</v>
      </c>
      <c r="BZ39">
        <v>368</v>
      </c>
      <c r="CA39">
        <v>0</v>
      </c>
      <c r="CB39" t="s">
        <v>30</v>
      </c>
      <c r="CC39" t="b">
        <v>1</v>
      </c>
      <c r="CD39">
        <v>-2.4908869999999999</v>
      </c>
      <c r="CE39">
        <v>0</v>
      </c>
      <c r="CF39">
        <f t="shared" si="1"/>
        <v>0</v>
      </c>
      <c r="DI39" t="s">
        <v>23</v>
      </c>
      <c r="DJ39" t="s">
        <v>11</v>
      </c>
      <c r="DK39">
        <v>382</v>
      </c>
      <c r="DL39">
        <v>0</v>
      </c>
      <c r="DM39" t="s">
        <v>34</v>
      </c>
      <c r="DN39" t="b">
        <v>0</v>
      </c>
      <c r="DO39">
        <v>-6.7600680000000004</v>
      </c>
      <c r="DP39">
        <v>-1.043911</v>
      </c>
      <c r="DR39" t="s">
        <v>29</v>
      </c>
      <c r="DS39" t="s">
        <v>11</v>
      </c>
      <c r="DT39">
        <v>368</v>
      </c>
      <c r="DU39">
        <v>0</v>
      </c>
      <c r="DV39" t="s">
        <v>30</v>
      </c>
      <c r="DW39" t="b">
        <v>1</v>
      </c>
      <c r="DX39">
        <v>-8.6955329999999993</v>
      </c>
      <c r="DY39">
        <v>-0.90723399999999998</v>
      </c>
    </row>
    <row r="40" spans="2:131">
      <c r="DI40" t="s">
        <v>29</v>
      </c>
      <c r="DJ40" t="s">
        <v>11</v>
      </c>
      <c r="DK40">
        <v>368</v>
      </c>
      <c r="DL40">
        <v>0</v>
      </c>
      <c r="DM40" t="s">
        <v>30</v>
      </c>
      <c r="DN40" t="b">
        <v>1</v>
      </c>
      <c r="DO40">
        <v>-1.583653</v>
      </c>
      <c r="DP40">
        <v>-0.90723399999999998</v>
      </c>
    </row>
    <row r="41" spans="2:131">
      <c r="DI41" t="s">
        <v>60</v>
      </c>
      <c r="DJ41" t="s">
        <v>11</v>
      </c>
      <c r="DK41">
        <v>9176</v>
      </c>
      <c r="DL41">
        <v>0</v>
      </c>
      <c r="DM41" t="s">
        <v>61</v>
      </c>
      <c r="DN41" t="b">
        <v>0</v>
      </c>
      <c r="DO41">
        <v>-3.9695320000000001</v>
      </c>
      <c r="DP41">
        <v>0</v>
      </c>
    </row>
  </sheetData>
  <mergeCells count="37">
    <mergeCell ref="DR2:DY2"/>
    <mergeCell ref="DR22:DY22"/>
    <mergeCell ref="DR3:DY3"/>
    <mergeCell ref="CH2:CO2"/>
    <mergeCell ref="CQ2:CX2"/>
    <mergeCell ref="AW22:BD22"/>
    <mergeCell ref="CZ2:DG2"/>
    <mergeCell ref="DI23:DP23"/>
    <mergeCell ref="DI3:DP3"/>
    <mergeCell ref="DI2:DP2"/>
    <mergeCell ref="AN3:AU3"/>
    <mergeCell ref="AN2:AU2"/>
    <mergeCell ref="AN22:AU22"/>
    <mergeCell ref="BX22:CE22"/>
    <mergeCell ref="BX3:CE3"/>
    <mergeCell ref="BX2:CE2"/>
    <mergeCell ref="M3:T3"/>
    <mergeCell ref="M22:T22"/>
    <mergeCell ref="M2:T2"/>
    <mergeCell ref="V3:AC3"/>
    <mergeCell ref="V2:AC2"/>
    <mergeCell ref="V22:AC22"/>
    <mergeCell ref="BO22:BV22"/>
    <mergeCell ref="BO3:BV3"/>
    <mergeCell ref="BO2:BV2"/>
    <mergeCell ref="BO1:BV1"/>
    <mergeCell ref="AW1:BD1"/>
    <mergeCell ref="BF2:BM2"/>
    <mergeCell ref="AW2:BD2"/>
    <mergeCell ref="AW3:BD3"/>
    <mergeCell ref="BF19:BM19"/>
    <mergeCell ref="B2:I2"/>
    <mergeCell ref="B22:I22"/>
    <mergeCell ref="B3:I3"/>
    <mergeCell ref="AE22:AL22"/>
    <mergeCell ref="AE3:AL3"/>
    <mergeCell ref="AE2:AL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activeCell="A4" sqref="A4"/>
    </sheetView>
  </sheetViews>
  <sheetFormatPr defaultRowHeight="15"/>
  <cols>
    <col min="1" max="1" width="36" bestFit="1" customWidth="1"/>
    <col min="6" max="6" width="17" customWidth="1"/>
  </cols>
  <sheetData>
    <row r="1" spans="1:2">
      <c r="A1" t="s">
        <v>63</v>
      </c>
      <c r="B1">
        <v>-16.402064895913782</v>
      </c>
    </row>
    <row r="2" spans="1:2">
      <c r="A2" t="s">
        <v>64</v>
      </c>
      <c r="B2">
        <v>-12.563404475436464</v>
      </c>
    </row>
    <row r="3" spans="1:2">
      <c r="A3" t="s">
        <v>65</v>
      </c>
      <c r="B3">
        <v>-11.435621833901036</v>
      </c>
    </row>
    <row r="4" spans="1:2">
      <c r="A4" t="s">
        <v>66</v>
      </c>
      <c r="B4">
        <v>-8.8510103716135262</v>
      </c>
    </row>
    <row r="5" spans="1:2">
      <c r="A5" t="s">
        <v>67</v>
      </c>
      <c r="B5">
        <v>-11.172765591094731</v>
      </c>
    </row>
    <row r="6" spans="1:2">
      <c r="A6" t="s">
        <v>68</v>
      </c>
      <c r="B6">
        <v>-21.029309920105508</v>
      </c>
    </row>
    <row r="7" spans="1:2">
      <c r="A7" t="s">
        <v>69</v>
      </c>
      <c r="B7">
        <v>-11.088905201494335</v>
      </c>
    </row>
    <row r="8" spans="1:2">
      <c r="A8" t="s">
        <v>70</v>
      </c>
      <c r="B8">
        <v>-11.65983267622976</v>
      </c>
    </row>
    <row r="9" spans="1:2">
      <c r="A9" t="s">
        <v>71</v>
      </c>
      <c r="B9">
        <v>-14.855575077989588</v>
      </c>
    </row>
    <row r="10" spans="1:2">
      <c r="A10" t="s">
        <v>72</v>
      </c>
      <c r="B10">
        <v>-23.460579814040369</v>
      </c>
    </row>
    <row r="11" spans="1:2">
      <c r="A11" t="s">
        <v>73</v>
      </c>
      <c r="B11">
        <v>-17.903133711105681</v>
      </c>
    </row>
    <row r="12" spans="1:2">
      <c r="A12" t="s">
        <v>74</v>
      </c>
      <c r="B12">
        <v>-18.534591402259071</v>
      </c>
    </row>
    <row r="13" spans="1:2">
      <c r="A13" t="s">
        <v>75</v>
      </c>
      <c r="B13">
        <v>-17.301994090502703</v>
      </c>
    </row>
    <row r="14" spans="1:2">
      <c r="A14" t="s">
        <v>76</v>
      </c>
      <c r="B14">
        <v>-11.565103622305838</v>
      </c>
    </row>
    <row r="15" spans="1:2">
      <c r="A15" t="s">
        <v>77</v>
      </c>
      <c r="B15">
        <v>-15.309733884954433</v>
      </c>
    </row>
    <row r="16" spans="1:2">
      <c r="A16" t="s">
        <v>78</v>
      </c>
      <c r="B16">
        <v>-21.837213041022128</v>
      </c>
    </row>
    <row r="18" spans="1:2">
      <c r="A18" t="s">
        <v>79</v>
      </c>
      <c r="B18">
        <v>-18.270804983327729</v>
      </c>
    </row>
    <row r="19" spans="1:2">
      <c r="A19" t="s">
        <v>80</v>
      </c>
      <c r="B19">
        <v>-12.414158834676407</v>
      </c>
    </row>
    <row r="20" spans="1:2">
      <c r="A20" t="s">
        <v>81</v>
      </c>
      <c r="B20">
        <v>-17.495277966866084</v>
      </c>
    </row>
    <row r="21" spans="1:2">
      <c r="A21" t="s">
        <v>82</v>
      </c>
      <c r="B21">
        <v>-8.1586301189415273</v>
      </c>
    </row>
    <row r="22" spans="1:2">
      <c r="A22" t="s">
        <v>83</v>
      </c>
      <c r="B22">
        <v>-36.521481422089479</v>
      </c>
    </row>
    <row r="23" spans="1:2">
      <c r="A23" t="s">
        <v>84</v>
      </c>
      <c r="B23">
        <v>-27.928556446284343</v>
      </c>
    </row>
    <row r="24" spans="1:2">
      <c r="A24" t="s">
        <v>85</v>
      </c>
      <c r="B24">
        <v>-11.781200126603286</v>
      </c>
    </row>
    <row r="25" spans="1:2">
      <c r="A25" t="s">
        <v>86</v>
      </c>
      <c r="B25">
        <v>-23.903116733380614</v>
      </c>
    </row>
    <row r="26" spans="1:2">
      <c r="A26" t="s">
        <v>87</v>
      </c>
      <c r="B26">
        <v>-19.338705362620665</v>
      </c>
    </row>
    <row r="27" spans="1:2">
      <c r="A27" t="s">
        <v>88</v>
      </c>
      <c r="B27">
        <v>-24.579113516979465</v>
      </c>
    </row>
    <row r="28" spans="1:2">
      <c r="A28" t="s">
        <v>89</v>
      </c>
      <c r="B28">
        <v>-23.209408957882605</v>
      </c>
    </row>
    <row r="29" spans="1:2">
      <c r="A29" t="s">
        <v>90</v>
      </c>
      <c r="B29">
        <v>-17.642424203201848</v>
      </c>
    </row>
    <row r="30" spans="1:2">
      <c r="A30" t="s">
        <v>91</v>
      </c>
      <c r="B30">
        <v>-17.885746550886356</v>
      </c>
    </row>
    <row r="31" spans="1:2">
      <c r="A31" t="s">
        <v>92</v>
      </c>
      <c r="B31">
        <v>-16.296503176868345</v>
      </c>
    </row>
    <row r="32" spans="1:2">
      <c r="A32" t="s">
        <v>93</v>
      </c>
      <c r="B32">
        <v>-14.594297731367726</v>
      </c>
    </row>
    <row r="33" spans="1:2">
      <c r="A33" t="s">
        <v>94</v>
      </c>
      <c r="B33">
        <v>-21.608187046943041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Filipe Menezes</dc:creator>
  <cp:lastModifiedBy>Federico Ballabio</cp:lastModifiedBy>
  <dcterms:created xsi:type="dcterms:W3CDTF">2025-12-15T22:38:04Z</dcterms:created>
  <dcterms:modified xsi:type="dcterms:W3CDTF">2025-12-16T20:27:19Z</dcterms:modified>
</cp:coreProperties>
</file>